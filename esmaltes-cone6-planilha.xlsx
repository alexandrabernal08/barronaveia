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térias-Primas" sheetId="2" state="visible" r:id="rId4"/>
    <sheet name="Base A" sheetId="3" state="visible" r:id="rId5"/>
    <sheet name="Base B" sheetId="4" state="visible" r:id="rId6"/>
    <sheet name="Base C" sheetId="5" state="visible" r:id="rId7"/>
    <sheet name="Base D" sheetId="6" state="visible" r:id="rId8"/>
    <sheet name="Base E" sheetId="7" state="visible" r:id="rId9"/>
    <sheet name="Cores" sheetId="8" state="visible" r:id="rId10"/>
    <sheet name="Custos e Preço" sheetId="9" state="visible" r:id="rId11"/>
    <sheet name="Testes" sheetId="10" state="visible" r:id="rId12"/>
    <sheet name="Curva de Queima" sheetId="11" state="visible" r:id="rId13"/>
  </sheets>
  <definedNames>
    <definedName function="false" hidden="true" localSheetId="9" name="_xlnm._FilterDatabase" vbProcedure="false">Testes!$A$4:$R$140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<sst xmlns="http://schemas.openxmlformats.org/spreadsheetml/2006/main" count="941" uniqueCount="257">
  <si>
    <t xml:space="preserve">Esmaltes Cone 6 — Planilha de formulação, custos e testes</t>
  </si>
  <si>
    <t xml:space="preserve">Linha inicial de 17 cores · oxidação · 1220–1240 °C</t>
  </si>
  <si>
    <t xml:space="preserve">Como usar</t>
  </si>
  <si>
    <t xml:space="preserve">1. Matérias-Primas</t>
  </si>
  <si>
    <t xml:space="preserve">Substitua as análises químicas (%) e os preços pelos dados dos SEUS fornecedores. Os valores atuais são teóricos/típicos e os preços são estimativas ilustrativas.</t>
  </si>
  <si>
    <t xml:space="preserve">2. Base A … Base E</t>
  </si>
  <si>
    <t xml:space="preserve">Cada aba é uma base. Edite materiais e quantidades (azul). A UMF é calculada sozinha e comparada com as faixas-alvo (verde = dentro, vermelho = ajustar).</t>
  </si>
  <si>
    <t xml:space="preserve">3. Cores</t>
  </si>
  <si>
    <t xml:space="preserve">As 17 cores: base + colorantes (% sobre 100 da base). Custo de matéria-prima por kg calculado automaticamente.</t>
  </si>
  <si>
    <t xml:space="preserve">4. Custos e Preço</t>
  </si>
  <si>
    <t xml:space="preserve">Premissas (amarelo) de embalagem, mão de obra, perdas, impostos, taxa de canal e margem → preço sugerido para 500 g e 1 kg.</t>
  </si>
  <si>
    <t xml:space="preserve">5. Testes</t>
  </si>
  <si>
    <t xml:space="preserve">Matriz de 136 placas (17 cores × 2 argilas × 2 espessuras × 2 curvas). Preencha os resultados. A 1ª linha é um exemplo.</t>
  </si>
  <si>
    <t xml:space="preserve">6. Curva de Queima</t>
  </si>
  <si>
    <t xml:space="preserve">Curva padrão e curva com resfriamento lento para indicar no rótulo.</t>
  </si>
  <si>
    <t xml:space="preserve">Legenda de cores</t>
  </si>
  <si>
    <t xml:space="preserve">Texto azul</t>
  </si>
  <si>
    <t xml:space="preserve">Dado de entrada que você pode editar</t>
  </si>
  <si>
    <t xml:space="preserve">Texto preto</t>
  </si>
  <si>
    <t xml:space="preserve">Fórmula — não editar</t>
  </si>
  <si>
    <t xml:space="preserve">Texto verde</t>
  </si>
  <si>
    <t xml:space="preserve">Vínculo com outra aba</t>
  </si>
  <si>
    <t xml:space="preserve">Fundo amarelo</t>
  </si>
  <si>
    <t xml:space="preserve">Premissa-chave para revisar</t>
  </si>
  <si>
    <t xml:space="preserve">Avisos importantes</t>
  </si>
  <si>
    <t xml:space="preserve">Receitas</t>
  </si>
  <si>
    <t xml:space="preserve">As receitas e % de colorantes são PONTOS DE PARTIDA para teste, não fórmulas prontas para venda. Valide tudo em placas de teste.</t>
  </si>
  <si>
    <t xml:space="preserve">Segurança alimentar</t>
  </si>
  <si>
    <t xml:space="preserve">Só rotule como "própria para alimentos" após ensaio de lixiviação (Pb/Cd e metais como Cu, Co) em laboratório acreditado (ref. ISO 6486).</t>
  </si>
  <si>
    <t xml:space="preserve">Saúde</t>
  </si>
  <si>
    <t xml:space="preserve">Sílica, cobalto, cobre e pigmentos: use exaustão e máscara PFF2/P3 ao pesar e misturar pós.</t>
  </si>
  <si>
    <t xml:space="preserve">Matérias-primas e colorantes</t>
  </si>
  <si>
    <t xml:space="preserve">Análise química em % (base queimada = sem PPC). Substitua pelos laudos dos fornecedores.</t>
  </si>
  <si>
    <t xml:space="preserve">Massa molar →</t>
  </si>
  <si>
    <t xml:space="preserve">Material</t>
  </si>
  <si>
    <t xml:space="preserve">Tipo</t>
  </si>
  <si>
    <t xml:space="preserve">Fornecedor</t>
  </si>
  <si>
    <t xml:space="preserve">Preço (R$/kg)</t>
  </si>
  <si>
    <t xml:space="preserve">PPC (%)</t>
  </si>
  <si>
    <t xml:space="preserve">SiO2 (%)</t>
  </si>
  <si>
    <t xml:space="preserve">Al2O3 (%)</t>
  </si>
  <si>
    <t xml:space="preserve">B2O3 (%)</t>
  </si>
  <si>
    <t xml:space="preserve">Na2O (%)</t>
  </si>
  <si>
    <t xml:space="preserve">K2O (%)</t>
  </si>
  <si>
    <t xml:space="preserve">Li2O (%)</t>
  </si>
  <si>
    <t xml:space="preserve">CaO (%)</t>
  </si>
  <si>
    <t xml:space="preserve">MgO (%)</t>
  </si>
  <si>
    <t xml:space="preserve">SrO (%)</t>
  </si>
  <si>
    <t xml:space="preserve">ZnO (%)</t>
  </si>
  <si>
    <t xml:space="preserve">ZrO2 (%)</t>
  </si>
  <si>
    <t xml:space="preserve">Fe2O3 (%)</t>
  </si>
  <si>
    <t xml:space="preserve">TiO2 (%)</t>
  </si>
  <si>
    <t xml:space="preserve">Fonte / observação</t>
  </si>
  <si>
    <t xml:space="preserve">Feldspato potássico</t>
  </si>
  <si>
    <t xml:space="preserve">Base</t>
  </si>
  <si>
    <t xml:space="preserve">Valor típico de feldspato potássico nacional</t>
  </si>
  <si>
    <t xml:space="preserve">Caulim</t>
  </si>
  <si>
    <t xml:space="preserve">Caulinita teórica</t>
  </si>
  <si>
    <t xml:space="preserve">Quartzo (sílica 325#)</t>
  </si>
  <si>
    <t xml:space="preserve">Teórico</t>
  </si>
  <si>
    <t xml:space="preserve">Wollastonita</t>
  </si>
  <si>
    <t xml:space="preserve">Carbonato de cálcio</t>
  </si>
  <si>
    <t xml:space="preserve">Dolomita</t>
  </si>
  <si>
    <t xml:space="preserve">Talco</t>
  </si>
  <si>
    <t xml:space="preserve">Carbonato de estrôncio</t>
  </si>
  <si>
    <t xml:space="preserve">Óxido de zinco</t>
  </si>
  <si>
    <t xml:space="preserve">Frita borácica</t>
  </si>
  <si>
    <t xml:space="preserve">Aproximação tipo Ferro 3134 — trocar pela ficha da frita nacional</t>
  </si>
  <si>
    <t xml:space="preserve">Carbonato de lítio</t>
  </si>
  <si>
    <t xml:space="preserve">Silicato de zircônio</t>
  </si>
  <si>
    <t xml:space="preserve">Colorante</t>
  </si>
  <si>
    <t xml:space="preserve">Opacificante — teórico</t>
  </si>
  <si>
    <t xml:space="preserve">Óxido de ferro vermelho</t>
  </si>
  <si>
    <t xml:space="preserve">Carbonato de cobalto</t>
  </si>
  <si>
    <t xml:space="preserve">Colorante — ~63% CoO</t>
  </si>
  <si>
    <t xml:space="preserve">Carbonato de cobre</t>
  </si>
  <si>
    <t xml:space="preserve">Colorante — ~72% CuO</t>
  </si>
  <si>
    <t xml:space="preserve">Rutilo</t>
  </si>
  <si>
    <t xml:space="preserve">Colorante/variegação — típico</t>
  </si>
  <si>
    <t xml:space="preserve">Ilmenita granular</t>
  </si>
  <si>
    <t xml:space="preserve">Pintas — FeTiO3</t>
  </si>
  <si>
    <t xml:space="preserve">Pigmento preto</t>
  </si>
  <si>
    <t xml:space="preserve">Pigmento encapsulado</t>
  </si>
  <si>
    <t xml:space="preserve">Pigmento amarelo Zr-Pr</t>
  </si>
  <si>
    <t xml:space="preserve">Pigmento zircônio-praseodímio</t>
  </si>
  <si>
    <t xml:space="preserve">Pigmento rosa Cr-Sn</t>
  </si>
  <si>
    <t xml:space="preserve">Exige base cálcica, sem zinco</t>
  </si>
  <si>
    <t xml:space="preserve">Linhas livres abaixo para novos materiais (mantenha o mesmo formato). Preços: estimativas ilustrativas de 2026 — substitua por cotações reais.</t>
  </si>
  <si>
    <t xml:space="preserve">Base A — Brilhante transparente</t>
  </si>
  <si>
    <t xml:space="preserve">Ponto de partida: base "20x5" adaptada a materiais nacionais.</t>
  </si>
  <si>
    <t xml:space="preserve">Contribuição em massa de cada óxido (g por 100 g de esmalte queimado não normalizado) →</t>
  </si>
  <si>
    <t xml:space="preserve">Quantidade (g)</t>
  </si>
  <si>
    <t xml:space="preserve">% normalizado</t>
  </si>
  <si>
    <t xml:space="preserve">SiO2</t>
  </si>
  <si>
    <t xml:space="preserve">Al2O3</t>
  </si>
  <si>
    <t xml:space="preserve">B2O3</t>
  </si>
  <si>
    <t xml:space="preserve">Na2O</t>
  </si>
  <si>
    <t xml:space="preserve">K2O</t>
  </si>
  <si>
    <t xml:space="preserve">Li2O</t>
  </si>
  <si>
    <t xml:space="preserve">CaO</t>
  </si>
  <si>
    <t xml:space="preserve">MgO</t>
  </si>
  <si>
    <t xml:space="preserve">SrO</t>
  </si>
  <si>
    <t xml:space="preserve">ZnO</t>
  </si>
  <si>
    <t xml:space="preserve">ZrO2</t>
  </si>
  <si>
    <t xml:space="preserve">Fe2O3</t>
  </si>
  <si>
    <t xml:space="preserve">TiO2</t>
  </si>
  <si>
    <t xml:space="preserve">Total</t>
  </si>
  <si>
    <t xml:space="preserve">Massa molar</t>
  </si>
  <si>
    <t xml:space="preserve">Mols</t>
  </si>
  <si>
    <t xml:space="preserve">Soma fundentes:</t>
  </si>
  <si>
    <t xml:space="preserve">UMF (fundentes = 1)</t>
  </si>
  <si>
    <t xml:space="preserve">Checagem contra faixas-alvo</t>
  </si>
  <si>
    <t xml:space="preserve">Indicador</t>
  </si>
  <si>
    <t xml:space="preserve">Valor</t>
  </si>
  <si>
    <t xml:space="preserve">Mín</t>
  </si>
  <si>
    <t xml:space="preserve">Máx</t>
  </si>
  <si>
    <t xml:space="preserve">Status</t>
  </si>
  <si>
    <t xml:space="preserve">SiO₂ (UMF)</t>
  </si>
  <si>
    <t xml:space="preserve">Al₂O₃ (UMF)</t>
  </si>
  <si>
    <t xml:space="preserve">B₂O₃ (UMF)</t>
  </si>
  <si>
    <t xml:space="preserve">Razão SiO₂:Al₂O₃</t>
  </si>
  <si>
    <t xml:space="preserve">Custo matéria-prima da base (R$/kg)</t>
  </si>
  <si>
    <t xml:space="preserve">Faixas-alvo são referências de literatura para cone 6 estável; ajuste-as conforme seus testes. Fórmula-alvo calculada sobre óxidos; colorantes entram na aba Cores.</t>
  </si>
  <si>
    <t xml:space="preserve">Base B — Mate/acetinada cálcica (sem zinco)</t>
  </si>
  <si>
    <t xml:space="preserve">Mate por alumina alta + cálcio. Sem zinco para permitir o rosa cromo-estanho.</t>
  </si>
  <si>
    <t xml:space="preserve">Base C — Brilhante de estrôncio (para branco opaco e turquesa)</t>
  </si>
  <si>
    <t xml:space="preserve">Estrôncio no lugar de bário: favorece turquesa com cobre.</t>
  </si>
  <si>
    <t xml:space="preserve">Base D — Reativa fluida (rutilo / azul flutuante)</t>
  </si>
  <si>
    <t xml:space="preserve">Mais boro, mais fluida. Melhor com resfriamento lento. Atenção ao escorrimento.</t>
  </si>
  <si>
    <t xml:space="preserve">Base E — Para óxido de ferro (tenmoku / ferrugem)</t>
  </si>
  <si>
    <t xml:space="preserve">Recebe 6–12% de Fe2O3.</t>
  </si>
  <si>
    <t xml:space="preserve">Linha de 17 cores — cone 6 oxidação</t>
  </si>
  <si>
    <t xml:space="preserve">Colorantes em % adicionados sobre 100% da base seca. Valores = ponto de partida para teste.</t>
  </si>
  <si>
    <t xml:space="preserve">Nº</t>
  </si>
  <si>
    <t xml:space="preserve">Nome</t>
  </si>
  <si>
    <t xml:space="preserve">Colorante 1</t>
  </si>
  <si>
    <t xml:space="preserve">% 1</t>
  </si>
  <si>
    <t xml:space="preserve">Colorante 2</t>
  </si>
  <si>
    <t xml:space="preserve">% 2</t>
  </si>
  <si>
    <t xml:space="preserve">Colorante 3</t>
  </si>
  <si>
    <t xml:space="preserve">% 3</t>
  </si>
  <si>
    <t xml:space="preserve">Resfr. lento?</t>
  </si>
  <si>
    <t xml:space="preserve">Alimentos?</t>
  </si>
  <si>
    <t xml:space="preserve">Custo base (R$/kg)</t>
  </si>
  <si>
    <t xml:space="preserve">Custo colorantes (R$ por 100 g base)</t>
  </si>
  <si>
    <t xml:space="preserve">Custo MP (R$/kg esmalte)</t>
  </si>
  <si>
    <t xml:space="preserve">Observações</t>
  </si>
  <si>
    <t xml:space="preserve">Transparente brilhante</t>
  </si>
  <si>
    <t xml:space="preserve">A</t>
  </si>
  <si>
    <t xml:space="preserve">Não necessário</t>
  </si>
  <si>
    <t xml:space="preserve">Pendente lixiviação</t>
  </si>
  <si>
    <t xml:space="preserve">Base de referência</t>
  </si>
  <si>
    <t xml:space="preserve">Transparente mate</t>
  </si>
  <si>
    <t xml:space="preserve">B</t>
  </si>
  <si>
    <t xml:space="preserve">Recomendado</t>
  </si>
  <si>
    <t xml:space="preserve">Mate cálcico</t>
  </si>
  <si>
    <t xml:space="preserve">Branco brilhante</t>
  </si>
  <si>
    <t xml:space="preserve">C</t>
  </si>
  <si>
    <t xml:space="preserve">Branco acetinado</t>
  </si>
  <si>
    <t xml:space="preserve">Preto brilhante</t>
  </si>
  <si>
    <t xml:space="preserve">Alternativa: Fe + Co + Mn</t>
  </si>
  <si>
    <t xml:space="preserve">Tenmoku</t>
  </si>
  <si>
    <t xml:space="preserve">E</t>
  </si>
  <si>
    <t xml:space="preserve">Quebra marrom nas bordas</t>
  </si>
  <si>
    <t xml:space="preserve">Celadon verde</t>
  </si>
  <si>
    <t xml:space="preserve">Em oxidação fica verde-amarelado; teste 1–2%</t>
  </si>
  <si>
    <t xml:space="preserve">Celadon azul</t>
  </si>
  <si>
    <t xml:space="preserve">Rutilo mel</t>
  </si>
  <si>
    <t xml:space="preserve">D</t>
  </si>
  <si>
    <t xml:space="preserve">Sim</t>
  </si>
  <si>
    <t xml:space="preserve">Variegação depende da espessura</t>
  </si>
  <si>
    <t xml:space="preserve">Creme pintalgado</t>
  </si>
  <si>
    <t xml:space="preserve">Substitui o shino (que exige redução)</t>
  </si>
  <si>
    <t xml:space="preserve">Azul cobalto</t>
  </si>
  <si>
    <t xml:space="preserve">Turquesa</t>
  </si>
  <si>
    <t xml:space="preserve">Cobre: maior risco de lixiviação — testar antes de vender para louça</t>
  </si>
  <si>
    <t xml:space="preserve">Amarelo</t>
  </si>
  <si>
    <t xml:space="preserve">Rosa coral</t>
  </si>
  <si>
    <t xml:space="preserve">Base precisa de cálcio e ZERO zinco</t>
  </si>
  <si>
    <t xml:space="preserve">Ferrugem</t>
  </si>
  <si>
    <t xml:space="preserve">Superfície saturada de ferro</t>
  </si>
  <si>
    <t xml:space="preserve">Azul flutuante</t>
  </si>
  <si>
    <t xml:space="preserve">Floating blue; escorre se grosso</t>
  </si>
  <si>
    <t xml:space="preserve">Imitação de cinza</t>
  </si>
  <si>
    <t xml:space="preserve">Efeito ash sem cinza real</t>
  </si>
  <si>
    <t xml:space="preserve">Custo colorantes = Σ (% colorante/100 × preço R$/kg), em R$ por kg de base. Custo MP por kg de esmalte = (custo base + custo colorantes) ÷ (1 + Σ%/100).</t>
  </si>
  <si>
    <t xml:space="preserve">Custo total e preço sugerido</t>
  </si>
  <si>
    <t xml:space="preserve">Pó para imersão, embalagens de 500 g e 1 kg. Todas as premissas em amarelo são estimativas — substitua.</t>
  </si>
  <si>
    <t xml:space="preserve">Premissa</t>
  </si>
  <si>
    <t xml:space="preserve">Embalagem 500 g (pote + rótulo + lacre) — R$/un</t>
  </si>
  <si>
    <t xml:space="preserve">Embalagem 1 kg (pote + rótulo + lacre) — R$/un</t>
  </si>
  <si>
    <t xml:space="preserve">Mão de obra de produção — R$/kg</t>
  </si>
  <si>
    <t xml:space="preserve">Energia, QC e rateio de testes — R$/kg</t>
  </si>
  <si>
    <t xml:space="preserve">Perdas de processo (% sobre MP)</t>
  </si>
  <si>
    <t xml:space="preserve">Impostos sobre venda (Simples Nacional, %)</t>
  </si>
  <si>
    <t xml:space="preserve">Taxa do canal (marketplace/cartão, %)</t>
  </si>
  <si>
    <t xml:space="preserve">Margem de lucro desejada (% sobre preço)</t>
  </si>
  <si>
    <t xml:space="preserve">Preço = custo ÷ (1 − impostos − taxa do canal − margem). Se o divisor ficar ≤ 0, as premissas são inviáveis.</t>
  </si>
  <si>
    <t xml:space="preserve">Cor</t>
  </si>
  <si>
    <t xml:space="preserve">MP (R$/kg)</t>
  </si>
  <si>
    <t xml:space="preserve">MP + perdas (R$/kg)</t>
  </si>
  <si>
    <t xml:space="preserve">Custo produção (R$/kg)</t>
  </si>
  <si>
    <t xml:space="preserve">Custo 500 g (R$)</t>
  </si>
  <si>
    <t xml:space="preserve">Preço sugerido 500 g</t>
  </si>
  <si>
    <t xml:space="preserve">Custo 1 kg (R$)</t>
  </si>
  <si>
    <t xml:space="preserve">Preço sugerido 1 kg</t>
  </si>
  <si>
    <t xml:space="preserve">Lucro 1 kg (R$)</t>
  </si>
  <si>
    <t xml:space="preserve">Média</t>
  </si>
  <si>
    <t xml:space="preserve">Compare o preço sugerido com o preço de prateleira dos importados e nacionais. Se ficar acima, revise custo de MP (pigmentos e cobalto pesam muito) e taxa do canal.</t>
  </si>
  <si>
    <t xml:space="preserve">Registro de testes — rodada 1</t>
  </si>
  <si>
    <t xml:space="preserve">17 cores × 2 argilas × 2 espessuras × 2 curvas = 136 placas. A linha 5 é um EXEMPLO preenchido.</t>
  </si>
  <si>
    <t xml:space="preserve">ID</t>
  </si>
  <si>
    <t xml:space="preserve">Data</t>
  </si>
  <si>
    <t xml:space="preserve">Lote</t>
  </si>
  <si>
    <t xml:space="preserve">Nº cor</t>
  </si>
  <si>
    <t xml:space="preserve">Argila</t>
  </si>
  <si>
    <t xml:space="preserve">Espessura</t>
  </si>
  <si>
    <t xml:space="preserve">Curva</t>
  </si>
  <si>
    <t xml:space="preserve">Cone 6 dobrou? (h)</t>
  </si>
  <si>
    <t xml:space="preserve">Temp. máx (°C)</t>
  </si>
  <si>
    <t xml:space="preserve">Aparência geral (1–5)</t>
  </si>
  <si>
    <t xml:space="preserve">Gretamento</t>
  </si>
  <si>
    <t xml:space="preserve">Escorrimento</t>
  </si>
  <si>
    <t xml:space="preserve">Limão/vinagre 24h</t>
  </si>
  <si>
    <t xml:space="preserve">Choque térmico</t>
  </si>
  <si>
    <t xml:space="preserve">Lixiviação</t>
  </si>
  <si>
    <t xml:space="preserve">Foto (link)</t>
  </si>
  <si>
    <t xml:space="preserve">2026-11-03</t>
  </si>
  <si>
    <t xml:space="preserve">L001</t>
  </si>
  <si>
    <t xml:space="preserve">Clara</t>
  </si>
  <si>
    <t xml:space="preserve">Fina (1 mergulho)</t>
  </si>
  <si>
    <t xml:space="preserve">Padrão</t>
  </si>
  <si>
    <t xml:space="preserve">Nenhum</t>
  </si>
  <si>
    <t xml:space="preserve">Leve</t>
  </si>
  <si>
    <t xml:space="preserve">Pendente</t>
  </si>
  <si>
    <t xml:space="preserve">drive/fotos/L001-01.jpg</t>
  </si>
  <si>
    <t xml:space="preserve">EXEMPLO — brilho uniforme, leve acúmulo no pé</t>
  </si>
  <si>
    <t xml:space="preserve">Resfriamento lento</t>
  </si>
  <si>
    <t xml:space="preserve">Grossa (2 mergulhos)</t>
  </si>
  <si>
    <t xml:space="preserve">Escura</t>
  </si>
  <si>
    <t xml:space="preserve">Curvas de queima — cone 6, forno elétrico</t>
  </si>
  <si>
    <t xml:space="preserve">Use cones pirométricos em toda queima de teste. Cone 6 grande: ~1222 °C a 60 °C/h; ~1243 °C a 150 °C/h (Orton).</t>
  </si>
  <si>
    <t xml:space="preserve">Etapa</t>
  </si>
  <si>
    <t xml:space="preserve">Taxa (°C/h)</t>
  </si>
  <si>
    <t xml:space="preserve">De (°C)</t>
  </si>
  <si>
    <t xml:space="preserve">Até (°C)</t>
  </si>
  <si>
    <t xml:space="preserve">Patamar (min)</t>
  </si>
  <si>
    <t xml:space="preserve">Duração (h)</t>
  </si>
  <si>
    <t xml:space="preserve">1. Aquecimento inicial</t>
  </si>
  <si>
    <t xml:space="preserve">2. Aquecimento</t>
  </si>
  <si>
    <t xml:space="preserve">3. Final lento</t>
  </si>
  <si>
    <t xml:space="preserve">4. Queda livre (forno desligado)</t>
  </si>
  <si>
    <t xml:space="preserve">livre</t>
  </si>
  <si>
    <t xml:space="preserve">5. Resfriamento controlado</t>
  </si>
  <si>
    <t xml:space="preserve">Total curva padrão (h)</t>
  </si>
  <si>
    <t xml:space="preserve">Total resfriamento lento, até 800 °C (h)</t>
  </si>
  <si>
    <t xml:space="preserve">Biscoito sugerido: cone 04 (~1060 °C). Esmaltes aplicados sobre biscoito por imersão; densidade de partida 1,45–1,50 g/ml.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</si>
</sst>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#,##0.00"/>
    <numFmt numFmtId="167" formatCode="0.0"/>
    <numFmt numFmtId="168" formatCode="0.0;\-0.0;\-"/>
    <numFmt numFmtId="169" formatCode="0.0%"/>
    <numFmt numFmtId="170" formatCode="0.000;\-0.000;\-"/>
    <numFmt numFmtId="171" formatCode="0.000"/>
    <numFmt numFmtId="172" formatCode="0.0000"/>
    <numFmt numFmtId="173" formatCode="&quot;R$ &quot;#,##0.00"/>
    <numFmt numFmtId="17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color rgb="FF7A4A2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A4A2E"/>
        <bgColor rgb="FF666666"/>
      </patternFill>
    </fill>
    <fill>
      <patternFill patternType="solid">
        <fgColor rgb="FFF6EF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7A4A2E"/>
          <bgColor rgb="FF000000"/>
        </patternFill>
      </fill>
    </dxf>
    <dxf>
      <fill>
        <patternFill patternType="solid">
          <fgColor rgb="FFF6EF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6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7A4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2"/>
      <c r="B4" s="2"/>
    </row>
    <row r="5" customFormat="false" ht="15" hidden="false" customHeight="false" outlineLevel="0" collapsed="false">
      <c r="A5" s="4" t="s">
        <v>2</v>
      </c>
      <c r="B5" s="2"/>
    </row>
    <row r="6" customFormat="false" ht="23.85" hidden="false" customHeight="false" outlineLevel="0" collapsed="false">
      <c r="A6" s="5" t="s">
        <v>3</v>
      </c>
      <c r="B6" s="6" t="s">
        <v>4</v>
      </c>
    </row>
    <row r="7" customFormat="false" ht="23.85" hidden="false" customHeight="false" outlineLevel="0" collapsed="false">
      <c r="A7" s="5" t="s">
        <v>5</v>
      </c>
      <c r="B7" s="6" t="s">
        <v>6</v>
      </c>
    </row>
    <row r="8" customFormat="false" ht="15" hidden="false" customHeight="false" outlineLevel="0" collapsed="false">
      <c r="A8" s="5" t="s">
        <v>7</v>
      </c>
      <c r="B8" s="6" t="s">
        <v>8</v>
      </c>
    </row>
    <row r="9" customFormat="false" ht="23.85" hidden="false" customHeight="false" outlineLevel="0" collapsed="false">
      <c r="A9" s="5" t="s">
        <v>9</v>
      </c>
      <c r="B9" s="6" t="s">
        <v>10</v>
      </c>
    </row>
    <row r="10" customFormat="false" ht="15" hidden="false" customHeight="false" outlineLevel="0" collapsed="false">
      <c r="A10" s="5" t="s">
        <v>11</v>
      </c>
      <c r="B10" s="6" t="s">
        <v>12</v>
      </c>
    </row>
    <row r="11" customFormat="false" ht="15" hidden="false" customHeight="false" outlineLevel="0" collapsed="false">
      <c r="A11" s="5" t="s">
        <v>13</v>
      </c>
      <c r="B11" s="6" t="s">
        <v>14</v>
      </c>
    </row>
    <row r="12" customFormat="false" ht="15" hidden="false" customHeight="false" outlineLevel="0" collapsed="false">
      <c r="A12" s="2"/>
      <c r="B12" s="2"/>
    </row>
    <row r="13" customFormat="false" ht="15" hidden="false" customHeight="false" outlineLevel="0" collapsed="false">
      <c r="A13" s="4" t="s">
        <v>15</v>
      </c>
      <c r="B13" s="2"/>
    </row>
    <row r="14" customFormat="false" ht="15" hidden="false" customHeight="false" outlineLevel="0" collapsed="false">
      <c r="A14" s="5" t="s">
        <v>16</v>
      </c>
      <c r="B14" s="6" t="s">
        <v>17</v>
      </c>
    </row>
    <row r="15" customFormat="false" ht="15" hidden="false" customHeight="false" outlineLevel="0" collapsed="false">
      <c r="A15" s="7" t="s">
        <v>18</v>
      </c>
      <c r="B15" s="6" t="s">
        <v>19</v>
      </c>
    </row>
    <row r="16" customFormat="false" ht="15" hidden="false" customHeight="false" outlineLevel="0" collapsed="false">
      <c r="A16" s="8" t="s">
        <v>20</v>
      </c>
      <c r="B16" s="6" t="s">
        <v>21</v>
      </c>
    </row>
    <row r="17" customFormat="false" ht="15" hidden="false" customHeight="false" outlineLevel="0" collapsed="false">
      <c r="A17" s="9" t="s">
        <v>22</v>
      </c>
      <c r="B17" s="6" t="s">
        <v>23</v>
      </c>
    </row>
    <row r="18" customFormat="false" ht="15" hidden="false" customHeight="false" outlineLevel="0" collapsed="false">
      <c r="A18" s="10"/>
      <c r="B18" s="2"/>
    </row>
    <row r="19" customFormat="false" ht="15" hidden="false" customHeight="false" outlineLevel="0" collapsed="false">
      <c r="A19" s="4" t="s">
        <v>24</v>
      </c>
      <c r="B19" s="2"/>
    </row>
    <row r="20" customFormat="false" ht="23.85" hidden="false" customHeight="false" outlineLevel="0" collapsed="false">
      <c r="A20" s="5" t="s">
        <v>25</v>
      </c>
      <c r="B20" s="6" t="s">
        <v>26</v>
      </c>
    </row>
    <row r="21" customFormat="false" ht="23.85" hidden="false" customHeight="false" outlineLevel="0" collapsed="false">
      <c r="A21" s="5" t="s">
        <v>27</v>
      </c>
      <c r="B21" s="6" t="s">
        <v>28</v>
      </c>
    </row>
    <row r="22" customFormat="false" ht="15" hidden="false" customHeight="false" outlineLevel="0" collapsed="false">
      <c r="A22" s="5" t="s">
        <v>29</v>
      </c>
      <c r="B22" s="6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18" min="4" style="0" width="9.51"/>
    <col collapsed="false" customWidth="true" hidden="false" outlineLevel="0" max="19" min="19" style="0" width="48"/>
  </cols>
  <sheetData>
    <row r="1" customFormat="false" ht="17.35" hidden="false" customHeight="false" outlineLevel="0" collapsed="false">
      <c r="A1" s="1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customFormat="false" ht="15" hidden="false" customHeight="false" outlineLevel="0" collapsed="false">
      <c r="A2" s="3" t="s">
        <v>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5" hidden="false" customHeight="false" outlineLevel="0" collapsed="false">
      <c r="A3" s="2"/>
      <c r="B3" s="2"/>
      <c r="C3" s="2"/>
      <c r="D3" s="2"/>
      <c r="E3" s="3" t="s">
        <v>33</v>
      </c>
      <c r="F3" s="11" t="n">
        <v>60.08</v>
      </c>
      <c r="G3" s="11" t="n">
        <v>101.96</v>
      </c>
      <c r="H3" s="11" t="n">
        <v>69.62</v>
      </c>
      <c r="I3" s="11" t="n">
        <v>61.98</v>
      </c>
      <c r="J3" s="11" t="n">
        <v>94.2</v>
      </c>
      <c r="K3" s="11" t="n">
        <v>29.88</v>
      </c>
      <c r="L3" s="11" t="n">
        <v>56.08</v>
      </c>
      <c r="M3" s="11" t="n">
        <v>40.3</v>
      </c>
      <c r="N3" s="11" t="n">
        <v>103.62</v>
      </c>
      <c r="O3" s="11" t="n">
        <v>81.38</v>
      </c>
      <c r="P3" s="11" t="n">
        <v>123.22</v>
      </c>
      <c r="Q3" s="11" t="n">
        <v>159.69</v>
      </c>
      <c r="R3" s="11" t="n">
        <v>79.87</v>
      </c>
      <c r="S3" s="2"/>
    </row>
    <row r="4" customFormat="false" ht="23.85" hidden="false" customHeight="false" outlineLevel="0" collapsed="false">
      <c r="A4" s="12" t="s">
        <v>34</v>
      </c>
      <c r="B4" s="12" t="s">
        <v>35</v>
      </c>
      <c r="C4" s="12" t="s">
        <v>36</v>
      </c>
      <c r="D4" s="12" t="s">
        <v>37</v>
      </c>
      <c r="E4" s="12" t="s">
        <v>38</v>
      </c>
      <c r="F4" s="12" t="s">
        <v>39</v>
      </c>
      <c r="G4" s="12" t="s">
        <v>40</v>
      </c>
      <c r="H4" s="12" t="s">
        <v>41</v>
      </c>
      <c r="I4" s="12" t="s">
        <v>42</v>
      </c>
      <c r="J4" s="12" t="s">
        <v>43</v>
      </c>
      <c r="K4" s="12" t="s">
        <v>44</v>
      </c>
      <c r="L4" s="12" t="s">
        <v>45</v>
      </c>
      <c r="M4" s="12" t="s">
        <v>46</v>
      </c>
      <c r="N4" s="12" t="s">
        <v>47</v>
      </c>
      <c r="O4" s="12" t="s">
        <v>48</v>
      </c>
      <c r="P4" s="12" t="s">
        <v>49</v>
      </c>
      <c r="Q4" s="12" t="s">
        <v>50</v>
      </c>
      <c r="R4" s="12" t="s">
        <v>51</v>
      </c>
      <c r="S4" s="12" t="s">
        <v>52</v>
      </c>
    </row>
    <row r="5" customFormat="false" ht="15" hidden="false" customHeight="false" outlineLevel="0" collapsed="false">
      <c r="A5" s="13" t="s">
        <v>53</v>
      </c>
      <c r="B5" s="13" t="s">
        <v>54</v>
      </c>
      <c r="C5" s="13"/>
      <c r="D5" s="14" t="n">
        <v>3.5</v>
      </c>
      <c r="E5" s="15" t="n">
        <v>0.3</v>
      </c>
      <c r="F5" s="16" t="n">
        <v>67</v>
      </c>
      <c r="G5" s="16" t="n">
        <v>18.5</v>
      </c>
      <c r="H5" s="16" t="n">
        <v>0</v>
      </c>
      <c r="I5" s="16" t="n">
        <v>3</v>
      </c>
      <c r="J5" s="16" t="n">
        <v>11</v>
      </c>
      <c r="K5" s="16" t="n">
        <v>0</v>
      </c>
      <c r="L5" s="16" t="n">
        <v>0.2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0.1</v>
      </c>
      <c r="R5" s="16" t="n">
        <v>0</v>
      </c>
      <c r="S5" s="17" t="s">
        <v>55</v>
      </c>
    </row>
    <row r="6" customFormat="false" ht="15" hidden="false" customHeight="false" outlineLevel="0" collapsed="false">
      <c r="A6" s="13" t="s">
        <v>56</v>
      </c>
      <c r="B6" s="13" t="s">
        <v>54</v>
      </c>
      <c r="C6" s="13"/>
      <c r="D6" s="14" t="n">
        <v>2.5</v>
      </c>
      <c r="E6" s="15" t="n">
        <v>13.9</v>
      </c>
      <c r="F6" s="16" t="n">
        <v>46.5</v>
      </c>
      <c r="G6" s="16" t="n">
        <v>39.5</v>
      </c>
      <c r="H6" s="16" t="n">
        <v>0</v>
      </c>
      <c r="I6" s="16" t="n">
        <v>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n">
        <v>0.1</v>
      </c>
      <c r="R6" s="16" t="n">
        <v>0</v>
      </c>
      <c r="S6" s="17" t="s">
        <v>57</v>
      </c>
    </row>
    <row r="7" customFormat="false" ht="15" hidden="false" customHeight="false" outlineLevel="0" collapsed="false">
      <c r="A7" s="13" t="s">
        <v>58</v>
      </c>
      <c r="B7" s="13" t="s">
        <v>54</v>
      </c>
      <c r="C7" s="13"/>
      <c r="D7" s="14" t="n">
        <v>2</v>
      </c>
      <c r="E7" s="15" t="n">
        <v>0</v>
      </c>
      <c r="F7" s="16" t="n">
        <v>100</v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6" t="n">
        <v>0</v>
      </c>
      <c r="S7" s="17" t="s">
        <v>59</v>
      </c>
    </row>
    <row r="8" customFormat="false" ht="15" hidden="false" customHeight="false" outlineLevel="0" collapsed="false">
      <c r="A8" s="13" t="s">
        <v>60</v>
      </c>
      <c r="B8" s="13" t="s">
        <v>54</v>
      </c>
      <c r="C8" s="13"/>
      <c r="D8" s="14" t="n">
        <v>8</v>
      </c>
      <c r="E8" s="15" t="n">
        <v>0</v>
      </c>
      <c r="F8" s="16" t="n">
        <v>51.7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48.3</v>
      </c>
      <c r="M8" s="16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R8" s="16" t="n">
        <v>0</v>
      </c>
      <c r="S8" s="17" t="s">
        <v>59</v>
      </c>
    </row>
    <row r="9" customFormat="false" ht="15" hidden="false" customHeight="false" outlineLevel="0" collapsed="false">
      <c r="A9" s="13" t="s">
        <v>61</v>
      </c>
      <c r="B9" s="13" t="s">
        <v>54</v>
      </c>
      <c r="C9" s="13"/>
      <c r="D9" s="14" t="n">
        <v>2</v>
      </c>
      <c r="E9" s="15" t="n">
        <v>44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56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6" t="n">
        <v>0</v>
      </c>
      <c r="S9" s="17" t="s">
        <v>59</v>
      </c>
    </row>
    <row r="10" customFormat="false" ht="15" hidden="false" customHeight="false" outlineLevel="0" collapsed="false">
      <c r="A10" s="13" t="s">
        <v>62</v>
      </c>
      <c r="B10" s="13" t="s">
        <v>54</v>
      </c>
      <c r="C10" s="13"/>
      <c r="D10" s="14" t="n">
        <v>2</v>
      </c>
      <c r="E10" s="15" t="n">
        <v>47.7</v>
      </c>
      <c r="F10" s="16" t="n">
        <v>0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30.4</v>
      </c>
      <c r="M10" s="16" t="n">
        <v>21.9</v>
      </c>
      <c r="N10" s="16" t="n">
        <v>0</v>
      </c>
      <c r="O10" s="16" t="n">
        <v>0</v>
      </c>
      <c r="P10" s="16" t="n">
        <v>0</v>
      </c>
      <c r="Q10" s="16" t="n">
        <v>0</v>
      </c>
      <c r="R10" s="16" t="n">
        <v>0</v>
      </c>
      <c r="S10" s="17" t="s">
        <v>59</v>
      </c>
    </row>
    <row r="11" customFormat="false" ht="15" hidden="false" customHeight="false" outlineLevel="0" collapsed="false">
      <c r="A11" s="13" t="s">
        <v>63</v>
      </c>
      <c r="B11" s="13" t="s">
        <v>54</v>
      </c>
      <c r="C11" s="13"/>
      <c r="D11" s="14" t="n">
        <v>4</v>
      </c>
      <c r="E11" s="15" t="n">
        <v>4.8</v>
      </c>
      <c r="F11" s="16" t="n">
        <v>63.5</v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31.9</v>
      </c>
      <c r="N11" s="16" t="n">
        <v>0</v>
      </c>
      <c r="O11" s="16" t="n">
        <v>0</v>
      </c>
      <c r="P11" s="16" t="n">
        <v>0</v>
      </c>
      <c r="Q11" s="16" t="n">
        <v>0</v>
      </c>
      <c r="R11" s="16" t="n">
        <v>0</v>
      </c>
      <c r="S11" s="17" t="s">
        <v>59</v>
      </c>
    </row>
    <row r="12" customFormat="false" ht="15" hidden="false" customHeight="false" outlineLevel="0" collapsed="false">
      <c r="A12" s="13" t="s">
        <v>64</v>
      </c>
      <c r="B12" s="13" t="s">
        <v>54</v>
      </c>
      <c r="C12" s="13"/>
      <c r="D12" s="14" t="n">
        <v>35</v>
      </c>
      <c r="E12" s="15" t="n">
        <v>29.8</v>
      </c>
      <c r="F12" s="16" t="n">
        <v>0</v>
      </c>
      <c r="G12" s="16" t="n">
        <v>0</v>
      </c>
      <c r="H12" s="16" t="n">
        <v>0</v>
      </c>
      <c r="I12" s="16" t="n">
        <v>0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70.2</v>
      </c>
      <c r="O12" s="16" t="n">
        <v>0</v>
      </c>
      <c r="P12" s="16" t="n">
        <v>0</v>
      </c>
      <c r="Q12" s="16" t="n">
        <v>0</v>
      </c>
      <c r="R12" s="16" t="n">
        <v>0</v>
      </c>
      <c r="S12" s="17" t="s">
        <v>59</v>
      </c>
    </row>
    <row r="13" customFormat="false" ht="15" hidden="false" customHeight="false" outlineLevel="0" collapsed="false">
      <c r="A13" s="13" t="s">
        <v>65</v>
      </c>
      <c r="B13" s="13" t="s">
        <v>54</v>
      </c>
      <c r="C13" s="13"/>
      <c r="D13" s="14" t="n">
        <v>40</v>
      </c>
      <c r="E13" s="15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6" t="n">
        <v>100</v>
      </c>
      <c r="P13" s="16" t="n">
        <v>0</v>
      </c>
      <c r="Q13" s="16" t="n">
        <v>0</v>
      </c>
      <c r="R13" s="16" t="n">
        <v>0</v>
      </c>
      <c r="S13" s="17" t="s">
        <v>59</v>
      </c>
    </row>
    <row r="14" customFormat="false" ht="15" hidden="false" customHeight="false" outlineLevel="0" collapsed="false">
      <c r="A14" s="13" t="s">
        <v>66</v>
      </c>
      <c r="B14" s="13" t="s">
        <v>54</v>
      </c>
      <c r="C14" s="13"/>
      <c r="D14" s="14" t="n">
        <v>15</v>
      </c>
      <c r="E14" s="15" t="n">
        <v>0</v>
      </c>
      <c r="F14" s="16" t="n">
        <v>46.5</v>
      </c>
      <c r="G14" s="16" t="n">
        <v>0</v>
      </c>
      <c r="H14" s="16" t="n">
        <v>23.1</v>
      </c>
      <c r="I14" s="16" t="n">
        <v>10.3</v>
      </c>
      <c r="J14" s="16" t="n">
        <v>0</v>
      </c>
      <c r="K14" s="16" t="n">
        <v>0</v>
      </c>
      <c r="L14" s="16" t="n">
        <v>20.1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6" t="n">
        <v>0</v>
      </c>
      <c r="S14" s="17" t="s">
        <v>67</v>
      </c>
    </row>
    <row r="15" customFormat="false" ht="15" hidden="false" customHeight="false" outlineLevel="0" collapsed="false">
      <c r="A15" s="13" t="s">
        <v>68</v>
      </c>
      <c r="B15" s="13" t="s">
        <v>54</v>
      </c>
      <c r="C15" s="13"/>
      <c r="D15" s="14" t="n">
        <v>300</v>
      </c>
      <c r="E15" s="15" t="n">
        <v>59.6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40.4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6" t="n">
        <v>0</v>
      </c>
      <c r="S15" s="17" t="s">
        <v>59</v>
      </c>
    </row>
    <row r="16" customFormat="false" ht="15" hidden="false" customHeight="false" outlineLevel="0" collapsed="false">
      <c r="A16" s="13" t="s">
        <v>69</v>
      </c>
      <c r="B16" s="13" t="s">
        <v>70</v>
      </c>
      <c r="C16" s="13"/>
      <c r="D16" s="14" t="n">
        <v>25</v>
      </c>
      <c r="E16" s="15" t="n">
        <v>0</v>
      </c>
      <c r="F16" s="16" t="n">
        <v>32.8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16" t="n">
        <v>0</v>
      </c>
      <c r="P16" s="16" t="n">
        <v>67.2</v>
      </c>
      <c r="Q16" s="16" t="n">
        <v>0</v>
      </c>
      <c r="R16" s="16" t="n">
        <v>0</v>
      </c>
      <c r="S16" s="17" t="s">
        <v>71</v>
      </c>
    </row>
    <row r="17" customFormat="false" ht="15" hidden="false" customHeight="false" outlineLevel="0" collapsed="false">
      <c r="A17" s="13" t="s">
        <v>72</v>
      </c>
      <c r="B17" s="13" t="s">
        <v>70</v>
      </c>
      <c r="C17" s="13"/>
      <c r="D17" s="14" t="n">
        <v>20</v>
      </c>
      <c r="E17" s="15" t="n">
        <v>0</v>
      </c>
      <c r="F17" s="16" t="n">
        <v>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16" t="n">
        <v>0</v>
      </c>
      <c r="P17" s="16" t="n">
        <v>0</v>
      </c>
      <c r="Q17" s="16" t="n">
        <v>100</v>
      </c>
      <c r="R17" s="16" t="n">
        <v>0</v>
      </c>
      <c r="S17" s="17" t="s">
        <v>70</v>
      </c>
    </row>
    <row r="18" customFormat="false" ht="15" hidden="false" customHeight="false" outlineLevel="0" collapsed="false">
      <c r="A18" s="13" t="s">
        <v>73</v>
      </c>
      <c r="B18" s="13" t="s">
        <v>70</v>
      </c>
      <c r="C18" s="13"/>
      <c r="D18" s="14" t="n">
        <v>900</v>
      </c>
      <c r="E18" s="15" t="n">
        <v>37</v>
      </c>
      <c r="F18" s="16" t="n">
        <v>0</v>
      </c>
      <c r="G18" s="16" t="n">
        <v>0</v>
      </c>
      <c r="H18" s="16" t="n">
        <v>0</v>
      </c>
      <c r="I18" s="16" t="n">
        <v>0</v>
      </c>
      <c r="J18" s="16" t="n">
        <v>0</v>
      </c>
      <c r="K18" s="16" t="n">
        <v>0</v>
      </c>
      <c r="L18" s="16" t="n">
        <v>0</v>
      </c>
      <c r="M18" s="16" t="n">
        <v>0</v>
      </c>
      <c r="N18" s="16" t="n">
        <v>0</v>
      </c>
      <c r="O18" s="16" t="n">
        <v>0</v>
      </c>
      <c r="P18" s="16" t="n">
        <v>0</v>
      </c>
      <c r="Q18" s="16" t="n">
        <v>0</v>
      </c>
      <c r="R18" s="16" t="n">
        <v>0</v>
      </c>
      <c r="S18" s="17" t="s">
        <v>74</v>
      </c>
    </row>
    <row r="19" customFormat="false" ht="15" hidden="false" customHeight="false" outlineLevel="0" collapsed="false">
      <c r="A19" s="13" t="s">
        <v>75</v>
      </c>
      <c r="B19" s="13" t="s">
        <v>70</v>
      </c>
      <c r="C19" s="13"/>
      <c r="D19" s="14" t="n">
        <v>150</v>
      </c>
      <c r="E19" s="15" t="n">
        <v>28</v>
      </c>
      <c r="F19" s="16" t="n">
        <v>0</v>
      </c>
      <c r="G19" s="16" t="n">
        <v>0</v>
      </c>
      <c r="H19" s="16" t="n">
        <v>0</v>
      </c>
      <c r="I19" s="16" t="n">
        <v>0</v>
      </c>
      <c r="J19" s="16" t="n">
        <v>0</v>
      </c>
      <c r="K19" s="16" t="n">
        <v>0</v>
      </c>
      <c r="L19" s="16" t="n">
        <v>0</v>
      </c>
      <c r="M19" s="16" t="n">
        <v>0</v>
      </c>
      <c r="N19" s="16" t="n">
        <v>0</v>
      </c>
      <c r="O19" s="16" t="n">
        <v>0</v>
      </c>
      <c r="P19" s="16" t="n">
        <v>0</v>
      </c>
      <c r="Q19" s="16" t="n">
        <v>0</v>
      </c>
      <c r="R19" s="16" t="n">
        <v>0</v>
      </c>
      <c r="S19" s="17" t="s">
        <v>76</v>
      </c>
    </row>
    <row r="20" customFormat="false" ht="15" hidden="false" customHeight="false" outlineLevel="0" collapsed="false">
      <c r="A20" s="13" t="s">
        <v>77</v>
      </c>
      <c r="B20" s="13" t="s">
        <v>70</v>
      </c>
      <c r="C20" s="13"/>
      <c r="D20" s="14" t="n">
        <v>80</v>
      </c>
      <c r="E20" s="15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O20" s="16" t="n">
        <v>0</v>
      </c>
      <c r="P20" s="16" t="n">
        <v>0</v>
      </c>
      <c r="Q20" s="16" t="n">
        <v>4</v>
      </c>
      <c r="R20" s="16" t="n">
        <v>95</v>
      </c>
      <c r="S20" s="17" t="s">
        <v>78</v>
      </c>
    </row>
    <row r="21" customFormat="false" ht="15" hidden="false" customHeight="false" outlineLevel="0" collapsed="false">
      <c r="A21" s="13" t="s">
        <v>79</v>
      </c>
      <c r="B21" s="13" t="s">
        <v>70</v>
      </c>
      <c r="C21" s="13"/>
      <c r="D21" s="14" t="n">
        <v>60</v>
      </c>
      <c r="E21" s="15" t="n">
        <v>0</v>
      </c>
      <c r="F21" s="16" t="n">
        <v>0</v>
      </c>
      <c r="G21" s="16" t="n">
        <v>0</v>
      </c>
      <c r="H21" s="16" t="n">
        <v>0</v>
      </c>
      <c r="I21" s="16" t="n">
        <v>0</v>
      </c>
      <c r="J21" s="16" t="n">
        <v>0</v>
      </c>
      <c r="K21" s="16" t="n">
        <v>0</v>
      </c>
      <c r="L21" s="16" t="n">
        <v>0</v>
      </c>
      <c r="M21" s="16" t="n">
        <v>0</v>
      </c>
      <c r="N21" s="16" t="n">
        <v>0</v>
      </c>
      <c r="O21" s="16" t="n">
        <v>0</v>
      </c>
      <c r="P21" s="16" t="n">
        <v>0</v>
      </c>
      <c r="Q21" s="16" t="n">
        <v>0</v>
      </c>
      <c r="R21" s="16" t="n">
        <v>0</v>
      </c>
      <c r="S21" s="17" t="s">
        <v>80</v>
      </c>
    </row>
    <row r="22" customFormat="false" ht="15" hidden="false" customHeight="false" outlineLevel="0" collapsed="false">
      <c r="A22" s="13" t="s">
        <v>81</v>
      </c>
      <c r="B22" s="13" t="s">
        <v>70</v>
      </c>
      <c r="C22" s="13"/>
      <c r="D22" s="14" t="n">
        <v>250</v>
      </c>
      <c r="E22" s="15" t="n">
        <v>0</v>
      </c>
      <c r="F22" s="16" t="n">
        <v>0</v>
      </c>
      <c r="G22" s="16" t="n">
        <v>0</v>
      </c>
      <c r="H22" s="16" t="n">
        <v>0</v>
      </c>
      <c r="I22" s="16" t="n">
        <v>0</v>
      </c>
      <c r="J22" s="16" t="n">
        <v>0</v>
      </c>
      <c r="K22" s="16" t="n">
        <v>0</v>
      </c>
      <c r="L22" s="16" t="n">
        <v>0</v>
      </c>
      <c r="M22" s="16" t="n">
        <v>0</v>
      </c>
      <c r="N22" s="16" t="n">
        <v>0</v>
      </c>
      <c r="O22" s="16" t="n">
        <v>0</v>
      </c>
      <c r="P22" s="16" t="n">
        <v>0</v>
      </c>
      <c r="Q22" s="16" t="n">
        <v>0</v>
      </c>
      <c r="R22" s="16" t="n">
        <v>0</v>
      </c>
      <c r="S22" s="17" t="s">
        <v>82</v>
      </c>
    </row>
    <row r="23" customFormat="false" ht="15" hidden="false" customHeight="false" outlineLevel="0" collapsed="false">
      <c r="A23" s="13" t="s">
        <v>83</v>
      </c>
      <c r="B23" s="13" t="s">
        <v>70</v>
      </c>
      <c r="C23" s="13"/>
      <c r="D23" s="14" t="n">
        <v>250</v>
      </c>
      <c r="E23" s="15" t="n">
        <v>0</v>
      </c>
      <c r="F23" s="16" t="n">
        <v>0</v>
      </c>
      <c r="G23" s="16" t="n">
        <v>0</v>
      </c>
      <c r="H23" s="16" t="n">
        <v>0</v>
      </c>
      <c r="I23" s="16" t="n">
        <v>0</v>
      </c>
      <c r="J23" s="16" t="n">
        <v>0</v>
      </c>
      <c r="K23" s="16" t="n">
        <v>0</v>
      </c>
      <c r="L23" s="16" t="n">
        <v>0</v>
      </c>
      <c r="M23" s="16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R23" s="16" t="n">
        <v>0</v>
      </c>
      <c r="S23" s="17" t="s">
        <v>84</v>
      </c>
    </row>
    <row r="24" customFormat="false" ht="15" hidden="false" customHeight="false" outlineLevel="0" collapsed="false">
      <c r="A24" s="13" t="s">
        <v>85</v>
      </c>
      <c r="B24" s="13" t="s">
        <v>70</v>
      </c>
      <c r="C24" s="13"/>
      <c r="D24" s="14" t="n">
        <v>350</v>
      </c>
      <c r="E24" s="15" t="n">
        <v>0</v>
      </c>
      <c r="F24" s="16" t="n">
        <v>0</v>
      </c>
      <c r="G24" s="16" t="n">
        <v>0</v>
      </c>
      <c r="H24" s="16" t="n">
        <v>0</v>
      </c>
      <c r="I24" s="16" t="n">
        <v>0</v>
      </c>
      <c r="J24" s="16" t="n">
        <v>0</v>
      </c>
      <c r="K24" s="16" t="n">
        <v>0</v>
      </c>
      <c r="L24" s="16" t="n">
        <v>0</v>
      </c>
      <c r="M24" s="16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R24" s="16" t="n">
        <v>0</v>
      </c>
      <c r="S24" s="17" t="s">
        <v>86</v>
      </c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</row>
    <row r="26" customFormat="false" ht="15" hidden="false" customHeight="false" outlineLevel="0" collapsed="false">
      <c r="A26" s="3" t="s">
        <v>87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7" min="2" style="0" width="11"/>
  </cols>
  <sheetData>
    <row r="1" customFormat="false" ht="17.35" hidden="false" customHeight="false" outlineLevel="0" collapsed="false">
      <c r="A1" s="1" t="s">
        <v>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3" t="s">
        <v>90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5.05" hidden="false" customHeight="false" outlineLevel="0" collapsed="false">
      <c r="A4" s="12" t="s">
        <v>34</v>
      </c>
      <c r="B4" s="12" t="s">
        <v>91</v>
      </c>
      <c r="C4" s="12" t="s">
        <v>92</v>
      </c>
      <c r="D4" s="12" t="s">
        <v>37</v>
      </c>
      <c r="E4" s="12" t="s">
        <v>93</v>
      </c>
      <c r="F4" s="12" t="s">
        <v>94</v>
      </c>
      <c r="G4" s="12" t="s">
        <v>95</v>
      </c>
      <c r="H4" s="12" t="s">
        <v>96</v>
      </c>
      <c r="I4" s="12" t="s">
        <v>97</v>
      </c>
      <c r="J4" s="12" t="s">
        <v>98</v>
      </c>
      <c r="K4" s="12" t="s">
        <v>99</v>
      </c>
      <c r="L4" s="12" t="s">
        <v>100</v>
      </c>
      <c r="M4" s="12" t="s">
        <v>101</v>
      </c>
      <c r="N4" s="12" t="s">
        <v>102</v>
      </c>
      <c r="O4" s="12" t="s">
        <v>103</v>
      </c>
      <c r="P4" s="12" t="s">
        <v>104</v>
      </c>
      <c r="Q4" s="12" t="s">
        <v>105</v>
      </c>
    </row>
    <row r="5" customFormat="false" ht="15" hidden="false" customHeight="false" outlineLevel="0" collapsed="false">
      <c r="A5" s="13" t="s">
        <v>60</v>
      </c>
      <c r="B5" s="15" t="n">
        <v>20</v>
      </c>
      <c r="C5" s="18" t="n">
        <f aca="false">IF(B5="","",B5/SUM($B$5:$B$14))</f>
        <v>0.2</v>
      </c>
      <c r="D5" s="19" t="n">
        <f aca="false">IF(A5="","",IFERROR(INDEX('Matérias-Primas'!$D$5:$D$45,MATCH(A5,'Matérias-Primas'!$A$5:$A$45,0)),0))</f>
        <v>8</v>
      </c>
      <c r="E5" s="20" t="n">
        <f aca="false">IF(A5="",0,C5*IFERROR(INDEX('Matérias-Primas'!$F$5:$F$45,MATCH(A5,'Matérias-Primas'!$A$5:$A$45,0)),0))</f>
        <v>10.34</v>
      </c>
      <c r="F5" s="20" t="n">
        <f aca="false">IF(A5="",0,C5*IFERROR(INDEX('Matérias-Primas'!$G$5:$G$45,MATCH(A5,'Matérias-Primas'!$A$5:$A$45,0)),0))</f>
        <v>0</v>
      </c>
      <c r="G5" s="20" t="n">
        <f aca="false">IF(A5="",0,C5*IFERROR(INDEX('Matérias-Primas'!$H$5:$H$45,MATCH(A5,'Matérias-Primas'!$A$5:$A$45,0)),0))</f>
        <v>0</v>
      </c>
      <c r="H5" s="20" t="n">
        <f aca="false">IF(A5="",0,C5*IFERROR(INDEX('Matérias-Primas'!$I$5:$I$45,MATCH(A5,'Matérias-Primas'!$A$5:$A$45,0)),0))</f>
        <v>0</v>
      </c>
      <c r="I5" s="20" t="n">
        <f aca="false">IF(A5="",0,C5*IFERROR(INDEX('Matérias-Primas'!$J$5:$J$45,MATCH(A5,'Matérias-Primas'!$A$5:$A$45,0)),0))</f>
        <v>0</v>
      </c>
      <c r="J5" s="20" t="n">
        <f aca="false">IF(A5="",0,C5*IFERROR(INDEX('Matérias-Primas'!$K$5:$K$45,MATCH(A5,'Matérias-Primas'!$A$5:$A$45,0)),0))</f>
        <v>0</v>
      </c>
      <c r="K5" s="20" t="n">
        <f aca="false">IF(A5="",0,C5*IFERROR(INDEX('Matérias-Primas'!$L$5:$L$45,MATCH(A5,'Matérias-Primas'!$A$5:$A$45,0)),0))</f>
        <v>9.66</v>
      </c>
      <c r="L5" s="20" t="n">
        <f aca="false">IF(A5="",0,C5*IFERROR(INDEX('Matérias-Primas'!$M$5:$M$45,MATCH(A5,'Matérias-Primas'!$A$5:$A$45,0)),0))</f>
        <v>0</v>
      </c>
      <c r="M5" s="20" t="n">
        <f aca="false">IF(A5="",0,C5*IFERROR(INDEX('Matérias-Primas'!$N$5:$N$45,MATCH(A5,'Matérias-Primas'!$A$5:$A$45,0)),0))</f>
        <v>0</v>
      </c>
      <c r="N5" s="20" t="n">
        <f aca="false">IF(A5="",0,C5*IFERROR(INDEX('Matérias-Primas'!$O$5:$O$45,MATCH(A5,'Matérias-Primas'!$A$5:$A$45,0)),0))</f>
        <v>0</v>
      </c>
      <c r="O5" s="20" t="n">
        <f aca="false">IF(A5="",0,C5*IFERROR(INDEX('Matérias-Primas'!$P$5:$P$45,MATCH(A5,'Matérias-Primas'!$A$5:$A$45,0)),0))</f>
        <v>0</v>
      </c>
      <c r="P5" s="20" t="n">
        <f aca="false">IF(A5="",0,C5*IFERROR(INDEX('Matérias-Primas'!$Q$5:$Q$45,MATCH(A5,'Matérias-Primas'!$A$5:$A$45,0)),0))</f>
        <v>0</v>
      </c>
      <c r="Q5" s="20" t="n">
        <f aca="false">IF(A5="",0,C5*IFERROR(INDEX('Matérias-Primas'!$R$5:$R$45,MATCH(A5,'Matérias-Primas'!$A$5:$A$45,0)),0))</f>
        <v>0</v>
      </c>
    </row>
    <row r="6" customFormat="false" ht="15" hidden="false" customHeight="false" outlineLevel="0" collapsed="false">
      <c r="A6" s="13" t="s">
        <v>66</v>
      </c>
      <c r="B6" s="15" t="n">
        <v>20</v>
      </c>
      <c r="C6" s="18" t="n">
        <f aca="false">IF(B6="","",B6/SUM($B$5:$B$14))</f>
        <v>0.2</v>
      </c>
      <c r="D6" s="19" t="n">
        <f aca="false">IF(A6="","",IFERROR(INDEX('Matérias-Primas'!$D$5:$D$45,MATCH(A6,'Matérias-Primas'!$A$5:$A$45,0)),0))</f>
        <v>15</v>
      </c>
      <c r="E6" s="20" t="n">
        <f aca="false">IF(A6="",0,C6*IFERROR(INDEX('Matérias-Primas'!$F$5:$F$45,MATCH(A6,'Matérias-Primas'!$A$5:$A$45,0)),0))</f>
        <v>9.3</v>
      </c>
      <c r="F6" s="20" t="n">
        <f aca="false">IF(A6="",0,C6*IFERROR(INDEX('Matérias-Primas'!$G$5:$G$45,MATCH(A6,'Matérias-Primas'!$A$5:$A$45,0)),0))</f>
        <v>0</v>
      </c>
      <c r="G6" s="20" t="n">
        <f aca="false">IF(A6="",0,C6*IFERROR(INDEX('Matérias-Primas'!$H$5:$H$45,MATCH(A6,'Matérias-Primas'!$A$5:$A$45,0)),0))</f>
        <v>4.62</v>
      </c>
      <c r="H6" s="20" t="n">
        <f aca="false">IF(A6="",0,C6*IFERROR(INDEX('Matérias-Primas'!$I$5:$I$45,MATCH(A6,'Matérias-Primas'!$A$5:$A$45,0)),0))</f>
        <v>2.06</v>
      </c>
      <c r="I6" s="20" t="n">
        <f aca="false">IF(A6="",0,C6*IFERROR(INDEX('Matérias-Primas'!$J$5:$J$45,MATCH(A6,'Matérias-Primas'!$A$5:$A$45,0)),0))</f>
        <v>0</v>
      </c>
      <c r="J6" s="20" t="n">
        <f aca="false">IF(A6="",0,C6*IFERROR(INDEX('Matérias-Primas'!$K$5:$K$45,MATCH(A6,'Matérias-Primas'!$A$5:$A$45,0)),0))</f>
        <v>0</v>
      </c>
      <c r="K6" s="20" t="n">
        <f aca="false">IF(A6="",0,C6*IFERROR(INDEX('Matérias-Primas'!$L$5:$L$45,MATCH(A6,'Matérias-Primas'!$A$5:$A$45,0)),0))</f>
        <v>4.02</v>
      </c>
      <c r="L6" s="20" t="n">
        <f aca="false">IF(A6="",0,C6*IFERROR(INDEX('Matérias-Primas'!$M$5:$M$45,MATCH(A6,'Matérias-Primas'!$A$5:$A$45,0)),0))</f>
        <v>0</v>
      </c>
      <c r="M6" s="20" t="n">
        <f aca="false">IF(A6="",0,C6*IFERROR(INDEX('Matérias-Primas'!$N$5:$N$45,MATCH(A6,'Matérias-Primas'!$A$5:$A$45,0)),0))</f>
        <v>0</v>
      </c>
      <c r="N6" s="20" t="n">
        <f aca="false">IF(A6="",0,C6*IFERROR(INDEX('Matérias-Primas'!$O$5:$O$45,MATCH(A6,'Matérias-Primas'!$A$5:$A$45,0)),0))</f>
        <v>0</v>
      </c>
      <c r="O6" s="20" t="n">
        <f aca="false">IF(A6="",0,C6*IFERROR(INDEX('Matérias-Primas'!$P$5:$P$45,MATCH(A6,'Matérias-Primas'!$A$5:$A$45,0)),0))</f>
        <v>0</v>
      </c>
      <c r="P6" s="20" t="n">
        <f aca="false">IF(A6="",0,C6*IFERROR(INDEX('Matérias-Primas'!$Q$5:$Q$45,MATCH(A6,'Matérias-Primas'!$A$5:$A$45,0)),0))</f>
        <v>0</v>
      </c>
      <c r="Q6" s="20" t="n">
        <f aca="false">IF(A6="",0,C6*IFERROR(INDEX('Matérias-Primas'!$R$5:$R$45,MATCH(A6,'Matérias-Primas'!$A$5:$A$45,0)),0))</f>
        <v>0</v>
      </c>
    </row>
    <row r="7" customFormat="false" ht="15" hidden="false" customHeight="false" outlineLevel="0" collapsed="false">
      <c r="A7" s="13" t="s">
        <v>53</v>
      </c>
      <c r="B7" s="15" t="n">
        <v>20</v>
      </c>
      <c r="C7" s="18" t="n">
        <f aca="false">IF(B7="","",B7/SUM($B$5:$B$14))</f>
        <v>0.2</v>
      </c>
      <c r="D7" s="19" t="n">
        <f aca="false">IF(A7="","",IFERROR(INDEX('Matérias-Primas'!$D$5:$D$45,MATCH(A7,'Matérias-Primas'!$A$5:$A$45,0)),0))</f>
        <v>3.5</v>
      </c>
      <c r="E7" s="20" t="n">
        <f aca="false">IF(A7="",0,C7*IFERROR(INDEX('Matérias-Primas'!$F$5:$F$45,MATCH(A7,'Matérias-Primas'!$A$5:$A$45,0)),0))</f>
        <v>13.4</v>
      </c>
      <c r="F7" s="20" t="n">
        <f aca="false">IF(A7="",0,C7*IFERROR(INDEX('Matérias-Primas'!$G$5:$G$45,MATCH(A7,'Matérias-Primas'!$A$5:$A$45,0)),0))</f>
        <v>3.7</v>
      </c>
      <c r="G7" s="20" t="n">
        <f aca="false">IF(A7="",0,C7*IFERROR(INDEX('Matérias-Primas'!$H$5:$H$45,MATCH(A7,'Matérias-Primas'!$A$5:$A$45,0)),0))</f>
        <v>0</v>
      </c>
      <c r="H7" s="20" t="n">
        <f aca="false">IF(A7="",0,C7*IFERROR(INDEX('Matérias-Primas'!$I$5:$I$45,MATCH(A7,'Matérias-Primas'!$A$5:$A$45,0)),0))</f>
        <v>0.6</v>
      </c>
      <c r="I7" s="20" t="n">
        <f aca="false">IF(A7="",0,C7*IFERROR(INDEX('Matérias-Primas'!$J$5:$J$45,MATCH(A7,'Matérias-Primas'!$A$5:$A$45,0)),0))</f>
        <v>2.2</v>
      </c>
      <c r="J7" s="20" t="n">
        <f aca="false">IF(A7="",0,C7*IFERROR(INDEX('Matérias-Primas'!$K$5:$K$45,MATCH(A7,'Matérias-Primas'!$A$5:$A$45,0)),0))</f>
        <v>0</v>
      </c>
      <c r="K7" s="20" t="n">
        <f aca="false">IF(A7="",0,C7*IFERROR(INDEX('Matérias-Primas'!$L$5:$L$45,MATCH(A7,'Matérias-Primas'!$A$5:$A$45,0)),0))</f>
        <v>0.04</v>
      </c>
      <c r="L7" s="20" t="n">
        <f aca="false">IF(A7="",0,C7*IFERROR(INDEX('Matérias-Primas'!$M$5:$M$45,MATCH(A7,'Matérias-Primas'!$A$5:$A$45,0)),0))</f>
        <v>0</v>
      </c>
      <c r="M7" s="20" t="n">
        <f aca="false">IF(A7="",0,C7*IFERROR(INDEX('Matérias-Primas'!$N$5:$N$45,MATCH(A7,'Matérias-Primas'!$A$5:$A$45,0)),0))</f>
        <v>0</v>
      </c>
      <c r="N7" s="20" t="n">
        <f aca="false">IF(A7="",0,C7*IFERROR(INDEX('Matérias-Primas'!$O$5:$O$45,MATCH(A7,'Matérias-Primas'!$A$5:$A$45,0)),0))</f>
        <v>0</v>
      </c>
      <c r="O7" s="20" t="n">
        <f aca="false">IF(A7="",0,C7*IFERROR(INDEX('Matérias-Primas'!$P$5:$P$45,MATCH(A7,'Matérias-Primas'!$A$5:$A$45,0)),0))</f>
        <v>0</v>
      </c>
      <c r="P7" s="20" t="n">
        <f aca="false">IF(A7="",0,C7*IFERROR(INDEX('Matérias-Primas'!$Q$5:$Q$45,MATCH(A7,'Matérias-Primas'!$A$5:$A$45,0)),0))</f>
        <v>0.02</v>
      </c>
      <c r="Q7" s="20" t="n">
        <f aca="false">IF(A7="",0,C7*IFERROR(INDEX('Matérias-Primas'!$R$5:$R$45,MATCH(A7,'Matérias-Primas'!$A$5:$A$45,0)),0))</f>
        <v>0</v>
      </c>
    </row>
    <row r="8" customFormat="false" ht="15" hidden="false" customHeight="false" outlineLevel="0" collapsed="false">
      <c r="A8" s="13" t="s">
        <v>56</v>
      </c>
      <c r="B8" s="15" t="n">
        <v>20</v>
      </c>
      <c r="C8" s="18" t="n">
        <f aca="false">IF(B8="","",B8/SUM($B$5:$B$14))</f>
        <v>0.2</v>
      </c>
      <c r="D8" s="19" t="n">
        <f aca="false">IF(A8="","",IFERROR(INDEX('Matérias-Primas'!$D$5:$D$45,MATCH(A8,'Matérias-Primas'!$A$5:$A$45,0)),0))</f>
        <v>2.5</v>
      </c>
      <c r="E8" s="20" t="n">
        <f aca="false">IF(A8="",0,C8*IFERROR(INDEX('Matérias-Primas'!$F$5:$F$45,MATCH(A8,'Matérias-Primas'!$A$5:$A$45,0)),0))</f>
        <v>9.3</v>
      </c>
      <c r="F8" s="20" t="n">
        <f aca="false">IF(A8="",0,C8*IFERROR(INDEX('Matérias-Primas'!$G$5:$G$45,MATCH(A8,'Matérias-Primas'!$A$5:$A$45,0)),0))</f>
        <v>7.9</v>
      </c>
      <c r="G8" s="20" t="n">
        <f aca="false">IF(A8="",0,C8*IFERROR(INDEX('Matérias-Primas'!$H$5:$H$45,MATCH(A8,'Matérias-Primas'!$A$5:$A$45,0)),0))</f>
        <v>0</v>
      </c>
      <c r="H8" s="20" t="n">
        <f aca="false">IF(A8="",0,C8*IFERROR(INDEX('Matérias-Primas'!$I$5:$I$45,MATCH(A8,'Matérias-Primas'!$A$5:$A$45,0)),0))</f>
        <v>0</v>
      </c>
      <c r="I8" s="20" t="n">
        <f aca="false">IF(A8="",0,C8*IFERROR(INDEX('Matérias-Primas'!$J$5:$J$45,MATCH(A8,'Matérias-Primas'!$A$5:$A$45,0)),0))</f>
        <v>0</v>
      </c>
      <c r="J8" s="20" t="n">
        <f aca="false">IF(A8="",0,C8*IFERROR(INDEX('Matérias-Primas'!$K$5:$K$45,MATCH(A8,'Matérias-Primas'!$A$5:$A$45,0)),0))</f>
        <v>0</v>
      </c>
      <c r="K8" s="20" t="n">
        <f aca="false">IF(A8="",0,C8*IFERROR(INDEX('Matérias-Primas'!$L$5:$L$45,MATCH(A8,'Matérias-Primas'!$A$5:$A$45,0)),0))</f>
        <v>0</v>
      </c>
      <c r="L8" s="20" t="n">
        <f aca="false">IF(A8="",0,C8*IFERROR(INDEX('Matérias-Primas'!$M$5:$M$45,MATCH(A8,'Matérias-Primas'!$A$5:$A$45,0)),0))</f>
        <v>0</v>
      </c>
      <c r="M8" s="20" t="n">
        <f aca="false">IF(A8="",0,C8*IFERROR(INDEX('Matérias-Primas'!$N$5:$N$45,MATCH(A8,'Matérias-Primas'!$A$5:$A$45,0)),0))</f>
        <v>0</v>
      </c>
      <c r="N8" s="20" t="n">
        <f aca="false">IF(A8="",0,C8*IFERROR(INDEX('Matérias-Primas'!$O$5:$O$45,MATCH(A8,'Matérias-Primas'!$A$5:$A$45,0)),0))</f>
        <v>0</v>
      </c>
      <c r="O8" s="20" t="n">
        <f aca="false">IF(A8="",0,C8*IFERROR(INDEX('Matérias-Primas'!$P$5:$P$45,MATCH(A8,'Matérias-Primas'!$A$5:$A$45,0)),0))</f>
        <v>0</v>
      </c>
      <c r="P8" s="20" t="n">
        <f aca="false">IF(A8="",0,C8*IFERROR(INDEX('Matérias-Primas'!$Q$5:$Q$45,MATCH(A8,'Matérias-Primas'!$A$5:$A$45,0)),0))</f>
        <v>0.02</v>
      </c>
      <c r="Q8" s="20" t="n">
        <f aca="false">IF(A8="",0,C8*IFERROR(INDEX('Matérias-Primas'!$R$5:$R$45,MATCH(A8,'Matérias-Primas'!$A$5:$A$45,0)),0))</f>
        <v>0</v>
      </c>
    </row>
    <row r="9" customFormat="false" ht="15" hidden="false" customHeight="false" outlineLevel="0" collapsed="false">
      <c r="A9" s="13" t="s">
        <v>58</v>
      </c>
      <c r="B9" s="15" t="n">
        <v>20</v>
      </c>
      <c r="C9" s="18" t="n">
        <f aca="false">IF(B9="","",B9/SUM($B$5:$B$14))</f>
        <v>0.2</v>
      </c>
      <c r="D9" s="19" t="n">
        <f aca="false">IF(A9="","",IFERROR(INDEX('Matérias-Primas'!$D$5:$D$45,MATCH(A9,'Matérias-Primas'!$A$5:$A$45,0)),0))</f>
        <v>2</v>
      </c>
      <c r="E9" s="20" t="n">
        <f aca="false">IF(A9="",0,C9*IFERROR(INDEX('Matérias-Primas'!$F$5:$F$45,MATCH(A9,'Matérias-Primas'!$A$5:$A$45,0)),0))</f>
        <v>20</v>
      </c>
      <c r="F9" s="20" t="n">
        <f aca="false">IF(A9="",0,C9*IFERROR(INDEX('Matérias-Primas'!$G$5:$G$45,MATCH(A9,'Matérias-Primas'!$A$5:$A$45,0)),0))</f>
        <v>0</v>
      </c>
      <c r="G9" s="20" t="n">
        <f aca="false">IF(A9="",0,C9*IFERROR(INDEX('Matérias-Primas'!$H$5:$H$45,MATCH(A9,'Matérias-Primas'!$A$5:$A$45,0)),0))</f>
        <v>0</v>
      </c>
      <c r="H9" s="20" t="n">
        <f aca="false">IF(A9="",0,C9*IFERROR(INDEX('Matérias-Primas'!$I$5:$I$45,MATCH(A9,'Matérias-Primas'!$A$5:$A$45,0)),0))</f>
        <v>0</v>
      </c>
      <c r="I9" s="20" t="n">
        <f aca="false">IF(A9="",0,C9*IFERROR(INDEX('Matérias-Primas'!$J$5:$J$45,MATCH(A9,'Matérias-Primas'!$A$5:$A$45,0)),0))</f>
        <v>0</v>
      </c>
      <c r="J9" s="20" t="n">
        <f aca="false">IF(A9="",0,C9*IFERROR(INDEX('Matérias-Primas'!$K$5:$K$45,MATCH(A9,'Matérias-Primas'!$A$5:$A$45,0)),0))</f>
        <v>0</v>
      </c>
      <c r="K9" s="20" t="n">
        <f aca="false">IF(A9="",0,C9*IFERROR(INDEX('Matérias-Primas'!$L$5:$L$45,MATCH(A9,'Matérias-Primas'!$A$5:$A$45,0)),0))</f>
        <v>0</v>
      </c>
      <c r="L9" s="20" t="n">
        <f aca="false">IF(A9="",0,C9*IFERROR(INDEX('Matérias-Primas'!$M$5:$M$45,MATCH(A9,'Matérias-Primas'!$A$5:$A$45,0)),0))</f>
        <v>0</v>
      </c>
      <c r="M9" s="20" t="n">
        <f aca="false">IF(A9="",0,C9*IFERROR(INDEX('Matérias-Primas'!$N$5:$N$45,MATCH(A9,'Matérias-Primas'!$A$5:$A$45,0)),0))</f>
        <v>0</v>
      </c>
      <c r="N9" s="20" t="n">
        <f aca="false">IF(A9="",0,C9*IFERROR(INDEX('Matérias-Primas'!$O$5:$O$45,MATCH(A9,'Matérias-Primas'!$A$5:$A$45,0)),0))</f>
        <v>0</v>
      </c>
      <c r="O9" s="20" t="n">
        <f aca="false">IF(A9="",0,C9*IFERROR(INDEX('Matérias-Primas'!$P$5:$P$45,MATCH(A9,'Matérias-Primas'!$A$5:$A$45,0)),0))</f>
        <v>0</v>
      </c>
      <c r="P9" s="20" t="n">
        <f aca="false">IF(A9="",0,C9*IFERROR(INDEX('Matérias-Primas'!$Q$5:$Q$45,MATCH(A9,'Matérias-Primas'!$A$5:$A$45,0)),0))</f>
        <v>0</v>
      </c>
      <c r="Q9" s="20" t="n">
        <f aca="false">IF(A9="",0,C9*IFERROR(INDEX('Matérias-Primas'!$R$5:$R$45,MATCH(A9,'Matérias-Primas'!$A$5:$A$45,0)),0))</f>
        <v>0</v>
      </c>
    </row>
    <row r="10" customFormat="false" ht="15" hidden="false" customHeight="false" outlineLevel="0" collapsed="false">
      <c r="A10" s="13"/>
      <c r="B10" s="15"/>
      <c r="C10" s="18" t="str">
        <f aca="false">IF(B10="","",B10/SUM($B$5:$B$14))</f>
        <v/>
      </c>
      <c r="D10" s="19" t="str">
        <f aca="false">IF(A10="","",IFERROR(INDEX('Matérias-Primas'!$D$5:$D$45,MATCH(A10,'Matérias-Primas'!$A$5:$A$45,0)),0))</f>
        <v/>
      </c>
      <c r="E10" s="20" t="n">
        <f aca="false">IF(A10="",0,C10*IFERROR(INDEX('Matérias-Primas'!$F$5:$F$45,MATCH(A10,'Matérias-Primas'!$A$5:$A$45,0)),0))</f>
        <v>0</v>
      </c>
      <c r="F10" s="20" t="n">
        <f aca="false">IF(A10="",0,C10*IFERROR(INDEX('Matérias-Primas'!$G$5:$G$45,MATCH(A10,'Matérias-Primas'!$A$5:$A$45,0)),0))</f>
        <v>0</v>
      </c>
      <c r="G10" s="20" t="n">
        <f aca="false">IF(A10="",0,C10*IFERROR(INDEX('Matérias-Primas'!$H$5:$H$45,MATCH(A10,'Matérias-Primas'!$A$5:$A$45,0)),0))</f>
        <v>0</v>
      </c>
      <c r="H10" s="20" t="n">
        <f aca="false">IF(A10="",0,C10*IFERROR(INDEX('Matérias-Primas'!$I$5:$I$45,MATCH(A10,'Matérias-Primas'!$A$5:$A$45,0)),0))</f>
        <v>0</v>
      </c>
      <c r="I10" s="20" t="n">
        <f aca="false">IF(A10="",0,C10*IFERROR(INDEX('Matérias-Primas'!$J$5:$J$45,MATCH(A10,'Matérias-Primas'!$A$5:$A$45,0)),0))</f>
        <v>0</v>
      </c>
      <c r="J10" s="20" t="n">
        <f aca="false">IF(A10="",0,C10*IFERROR(INDEX('Matérias-Primas'!$K$5:$K$45,MATCH(A10,'Matérias-Primas'!$A$5:$A$45,0)),0))</f>
        <v>0</v>
      </c>
      <c r="K10" s="20" t="n">
        <f aca="false">IF(A10="",0,C10*IFERROR(INDEX('Matérias-Primas'!$L$5:$L$45,MATCH(A10,'Matérias-Primas'!$A$5:$A$45,0)),0))</f>
        <v>0</v>
      </c>
      <c r="L10" s="20" t="n">
        <f aca="false">IF(A10="",0,C10*IFERROR(INDEX('Matérias-Primas'!$M$5:$M$45,MATCH(A10,'Matérias-Primas'!$A$5:$A$45,0)),0))</f>
        <v>0</v>
      </c>
      <c r="M10" s="20" t="n">
        <f aca="false">IF(A10="",0,C10*IFERROR(INDEX('Matérias-Primas'!$N$5:$N$45,MATCH(A10,'Matérias-Primas'!$A$5:$A$45,0)),0))</f>
        <v>0</v>
      </c>
      <c r="N10" s="20" t="n">
        <f aca="false">IF(A10="",0,C10*IFERROR(INDEX('Matérias-Primas'!$O$5:$O$45,MATCH(A10,'Matérias-Primas'!$A$5:$A$45,0)),0))</f>
        <v>0</v>
      </c>
      <c r="O10" s="20" t="n">
        <f aca="false">IF(A10="",0,C10*IFERROR(INDEX('Matérias-Primas'!$P$5:$P$45,MATCH(A10,'Matérias-Primas'!$A$5:$A$45,0)),0))</f>
        <v>0</v>
      </c>
      <c r="P10" s="20" t="n">
        <f aca="false">IF(A10="",0,C10*IFERROR(INDEX('Matérias-Primas'!$Q$5:$Q$45,MATCH(A10,'Matérias-Primas'!$A$5:$A$45,0)),0))</f>
        <v>0</v>
      </c>
      <c r="Q10" s="20" t="n">
        <f aca="false">IF(A10="",0,C10*IFERROR(INDEX('Matérias-Primas'!$R$5:$R$45,MATCH(A10,'Matérias-Primas'!$A$5:$A$45,0)),0))</f>
        <v>0</v>
      </c>
    </row>
    <row r="11" customFormat="false" ht="15" hidden="false" customHeight="false" outlineLevel="0" collapsed="false">
      <c r="A11" s="13"/>
      <c r="B11" s="15"/>
      <c r="C11" s="18" t="str">
        <f aca="false">IF(B11="","",B11/SUM($B$5:$B$14))</f>
        <v/>
      </c>
      <c r="D11" s="19" t="str">
        <f aca="false">IF(A11="","",IFERROR(INDEX('Matérias-Primas'!$D$5:$D$45,MATCH(A11,'Matérias-Primas'!$A$5:$A$45,0)),0))</f>
        <v/>
      </c>
      <c r="E11" s="20" t="n">
        <f aca="false">IF(A11="",0,C11*IFERROR(INDEX('Matérias-Primas'!$F$5:$F$45,MATCH(A11,'Matérias-Primas'!$A$5:$A$45,0)),0))</f>
        <v>0</v>
      </c>
      <c r="F11" s="20" t="n">
        <f aca="false">IF(A11="",0,C11*IFERROR(INDEX('Matérias-Primas'!$G$5:$G$45,MATCH(A11,'Matérias-Primas'!$A$5:$A$45,0)),0))</f>
        <v>0</v>
      </c>
      <c r="G11" s="20" t="n">
        <f aca="false">IF(A11="",0,C11*IFERROR(INDEX('Matérias-Primas'!$H$5:$H$45,MATCH(A11,'Matérias-Primas'!$A$5:$A$45,0)),0))</f>
        <v>0</v>
      </c>
      <c r="H11" s="20" t="n">
        <f aca="false">IF(A11="",0,C11*IFERROR(INDEX('Matérias-Primas'!$I$5:$I$45,MATCH(A11,'Matérias-Primas'!$A$5:$A$45,0)),0))</f>
        <v>0</v>
      </c>
      <c r="I11" s="20" t="n">
        <f aca="false">IF(A11="",0,C11*IFERROR(INDEX('Matérias-Primas'!$J$5:$J$45,MATCH(A11,'Matérias-Primas'!$A$5:$A$45,0)),0))</f>
        <v>0</v>
      </c>
      <c r="J11" s="20" t="n">
        <f aca="false">IF(A11="",0,C11*IFERROR(INDEX('Matérias-Primas'!$K$5:$K$45,MATCH(A11,'Matérias-Primas'!$A$5:$A$45,0)),0))</f>
        <v>0</v>
      </c>
      <c r="K11" s="20" t="n">
        <f aca="false">IF(A11="",0,C11*IFERROR(INDEX('Matérias-Primas'!$L$5:$L$45,MATCH(A11,'Matérias-Primas'!$A$5:$A$45,0)),0))</f>
        <v>0</v>
      </c>
      <c r="L11" s="20" t="n">
        <f aca="false">IF(A11="",0,C11*IFERROR(INDEX('Matérias-Primas'!$M$5:$M$45,MATCH(A11,'Matérias-Primas'!$A$5:$A$45,0)),0))</f>
        <v>0</v>
      </c>
      <c r="M11" s="20" t="n">
        <f aca="false">IF(A11="",0,C11*IFERROR(INDEX('Matérias-Primas'!$N$5:$N$45,MATCH(A11,'Matérias-Primas'!$A$5:$A$45,0)),0))</f>
        <v>0</v>
      </c>
      <c r="N11" s="20" t="n">
        <f aca="false">IF(A11="",0,C11*IFERROR(INDEX('Matérias-Primas'!$O$5:$O$45,MATCH(A11,'Matérias-Primas'!$A$5:$A$45,0)),0))</f>
        <v>0</v>
      </c>
      <c r="O11" s="20" t="n">
        <f aca="false">IF(A11="",0,C11*IFERROR(INDEX('Matérias-Primas'!$P$5:$P$45,MATCH(A11,'Matérias-Primas'!$A$5:$A$45,0)),0))</f>
        <v>0</v>
      </c>
      <c r="P11" s="20" t="n">
        <f aca="false">IF(A11="",0,C11*IFERROR(INDEX('Matérias-Primas'!$Q$5:$Q$45,MATCH(A11,'Matérias-Primas'!$A$5:$A$45,0)),0))</f>
        <v>0</v>
      </c>
      <c r="Q11" s="20" t="n">
        <f aca="false">IF(A11="",0,C11*IFERROR(INDEX('Matérias-Primas'!$R$5:$R$45,MATCH(A11,'Matérias-Primas'!$A$5:$A$45,0)),0))</f>
        <v>0</v>
      </c>
    </row>
    <row r="12" customFormat="false" ht="15" hidden="false" customHeight="false" outlineLevel="0" collapsed="false">
      <c r="A12" s="13"/>
      <c r="B12" s="15"/>
      <c r="C12" s="18" t="str">
        <f aca="false">IF(B12="","",B12/SUM($B$5:$B$14))</f>
        <v/>
      </c>
      <c r="D12" s="19" t="str">
        <f aca="false">IF(A12="","",IFERROR(INDEX('Matérias-Primas'!$D$5:$D$45,MATCH(A12,'Matérias-Primas'!$A$5:$A$45,0)),0))</f>
        <v/>
      </c>
      <c r="E12" s="20" t="n">
        <f aca="false">IF(A12="",0,C12*IFERROR(INDEX('Matérias-Primas'!$F$5:$F$45,MATCH(A12,'Matérias-Primas'!$A$5:$A$45,0)),0))</f>
        <v>0</v>
      </c>
      <c r="F12" s="20" t="n">
        <f aca="false">IF(A12="",0,C12*IFERROR(INDEX('Matérias-Primas'!$G$5:$G$45,MATCH(A12,'Matérias-Primas'!$A$5:$A$45,0)),0))</f>
        <v>0</v>
      </c>
      <c r="G12" s="20" t="n">
        <f aca="false">IF(A12="",0,C12*IFERROR(INDEX('Matérias-Primas'!$H$5:$H$45,MATCH(A12,'Matérias-Primas'!$A$5:$A$45,0)),0))</f>
        <v>0</v>
      </c>
      <c r="H12" s="20" t="n">
        <f aca="false">IF(A12="",0,C12*IFERROR(INDEX('Matérias-Primas'!$I$5:$I$45,MATCH(A12,'Matérias-Primas'!$A$5:$A$45,0)),0))</f>
        <v>0</v>
      </c>
      <c r="I12" s="20" t="n">
        <f aca="false">IF(A12="",0,C12*IFERROR(INDEX('Matérias-Primas'!$J$5:$J$45,MATCH(A12,'Matérias-Primas'!$A$5:$A$45,0)),0))</f>
        <v>0</v>
      </c>
      <c r="J12" s="20" t="n">
        <f aca="false">IF(A12="",0,C12*IFERROR(INDEX('Matérias-Primas'!$K$5:$K$45,MATCH(A12,'Matérias-Primas'!$A$5:$A$45,0)),0))</f>
        <v>0</v>
      </c>
      <c r="K12" s="20" t="n">
        <f aca="false">IF(A12="",0,C12*IFERROR(INDEX('Matérias-Primas'!$L$5:$L$45,MATCH(A12,'Matérias-Primas'!$A$5:$A$45,0)),0))</f>
        <v>0</v>
      </c>
      <c r="L12" s="20" t="n">
        <f aca="false">IF(A12="",0,C12*IFERROR(INDEX('Matérias-Primas'!$M$5:$M$45,MATCH(A12,'Matérias-Primas'!$A$5:$A$45,0)),0))</f>
        <v>0</v>
      </c>
      <c r="M12" s="20" t="n">
        <f aca="false">IF(A12="",0,C12*IFERROR(INDEX('Matérias-Primas'!$N$5:$N$45,MATCH(A12,'Matérias-Primas'!$A$5:$A$45,0)),0))</f>
        <v>0</v>
      </c>
      <c r="N12" s="20" t="n">
        <f aca="false">IF(A12="",0,C12*IFERROR(INDEX('Matérias-Primas'!$O$5:$O$45,MATCH(A12,'Matérias-Primas'!$A$5:$A$45,0)),0))</f>
        <v>0</v>
      </c>
      <c r="O12" s="20" t="n">
        <f aca="false">IF(A12="",0,C12*IFERROR(INDEX('Matérias-Primas'!$P$5:$P$45,MATCH(A12,'Matérias-Primas'!$A$5:$A$45,0)),0))</f>
        <v>0</v>
      </c>
      <c r="P12" s="20" t="n">
        <f aca="false">IF(A12="",0,C12*IFERROR(INDEX('Matérias-Primas'!$Q$5:$Q$45,MATCH(A12,'Matérias-Primas'!$A$5:$A$45,0)),0))</f>
        <v>0</v>
      </c>
      <c r="Q12" s="20" t="n">
        <f aca="false">IF(A12="",0,C12*IFERROR(INDEX('Matérias-Primas'!$R$5:$R$45,MATCH(A12,'Matérias-Primas'!$A$5:$A$45,0)),0))</f>
        <v>0</v>
      </c>
    </row>
    <row r="13" customFormat="false" ht="15" hidden="false" customHeight="false" outlineLevel="0" collapsed="false">
      <c r="A13" s="13"/>
      <c r="B13" s="15"/>
      <c r="C13" s="18" t="str">
        <f aca="false">IF(B13="","",B13/SUM($B$5:$B$14))</f>
        <v/>
      </c>
      <c r="D13" s="19" t="str">
        <f aca="false">IF(A13="","",IFERROR(INDEX('Matérias-Primas'!$D$5:$D$45,MATCH(A13,'Matérias-Primas'!$A$5:$A$45,0)),0))</f>
        <v/>
      </c>
      <c r="E13" s="20" t="n">
        <f aca="false">IF(A13="",0,C13*IFERROR(INDEX('Matérias-Primas'!$F$5:$F$45,MATCH(A13,'Matérias-Primas'!$A$5:$A$45,0)),0))</f>
        <v>0</v>
      </c>
      <c r="F13" s="20" t="n">
        <f aca="false">IF(A13="",0,C13*IFERROR(INDEX('Matérias-Primas'!$G$5:$G$45,MATCH(A13,'Matérias-Primas'!$A$5:$A$45,0)),0))</f>
        <v>0</v>
      </c>
      <c r="G13" s="20" t="n">
        <f aca="false">IF(A13="",0,C13*IFERROR(INDEX('Matérias-Primas'!$H$5:$H$45,MATCH(A13,'Matérias-Primas'!$A$5:$A$45,0)),0))</f>
        <v>0</v>
      </c>
      <c r="H13" s="20" t="n">
        <f aca="false">IF(A13="",0,C13*IFERROR(INDEX('Matérias-Primas'!$I$5:$I$45,MATCH(A13,'Matérias-Primas'!$A$5:$A$45,0)),0))</f>
        <v>0</v>
      </c>
      <c r="I13" s="20" t="n">
        <f aca="false">IF(A13="",0,C13*IFERROR(INDEX('Matérias-Primas'!$J$5:$J$45,MATCH(A13,'Matérias-Primas'!$A$5:$A$45,0)),0))</f>
        <v>0</v>
      </c>
      <c r="J13" s="20" t="n">
        <f aca="false">IF(A13="",0,C13*IFERROR(INDEX('Matérias-Primas'!$K$5:$K$45,MATCH(A13,'Matérias-Primas'!$A$5:$A$45,0)),0))</f>
        <v>0</v>
      </c>
      <c r="K13" s="20" t="n">
        <f aca="false">IF(A13="",0,C13*IFERROR(INDEX('Matérias-Primas'!$L$5:$L$45,MATCH(A13,'Matérias-Primas'!$A$5:$A$45,0)),0))</f>
        <v>0</v>
      </c>
      <c r="L13" s="20" t="n">
        <f aca="false">IF(A13="",0,C13*IFERROR(INDEX('Matérias-Primas'!$M$5:$M$45,MATCH(A13,'Matérias-Primas'!$A$5:$A$45,0)),0))</f>
        <v>0</v>
      </c>
      <c r="M13" s="20" t="n">
        <f aca="false">IF(A13="",0,C13*IFERROR(INDEX('Matérias-Primas'!$N$5:$N$45,MATCH(A13,'Matérias-Primas'!$A$5:$A$45,0)),0))</f>
        <v>0</v>
      </c>
      <c r="N13" s="20" t="n">
        <f aca="false">IF(A13="",0,C13*IFERROR(INDEX('Matérias-Primas'!$O$5:$O$45,MATCH(A13,'Matérias-Primas'!$A$5:$A$45,0)),0))</f>
        <v>0</v>
      </c>
      <c r="O13" s="20" t="n">
        <f aca="false">IF(A13="",0,C13*IFERROR(INDEX('Matérias-Primas'!$P$5:$P$45,MATCH(A13,'Matérias-Primas'!$A$5:$A$45,0)),0))</f>
        <v>0</v>
      </c>
      <c r="P13" s="20" t="n">
        <f aca="false">IF(A13="",0,C13*IFERROR(INDEX('Matérias-Primas'!$Q$5:$Q$45,MATCH(A13,'Matérias-Primas'!$A$5:$A$45,0)),0))</f>
        <v>0</v>
      </c>
      <c r="Q13" s="20" t="n">
        <f aca="false">IF(A13="",0,C13*IFERROR(INDEX('Matérias-Primas'!$R$5:$R$45,MATCH(A13,'Matérias-Primas'!$A$5:$A$45,0)),0))</f>
        <v>0</v>
      </c>
    </row>
    <row r="14" customFormat="false" ht="15" hidden="false" customHeight="false" outlineLevel="0" collapsed="false">
      <c r="A14" s="13"/>
      <c r="B14" s="15"/>
      <c r="C14" s="18" t="str">
        <f aca="false">IF(B14="","",B14/SUM($B$5:$B$14))</f>
        <v/>
      </c>
      <c r="D14" s="19" t="str">
        <f aca="false">IF(A14="","",IFERROR(INDEX('Matérias-Primas'!$D$5:$D$45,MATCH(A14,'Matérias-Primas'!$A$5:$A$45,0)),0))</f>
        <v/>
      </c>
      <c r="E14" s="20" t="n">
        <f aca="false">IF(A14="",0,C14*IFERROR(INDEX('Matérias-Primas'!$F$5:$F$45,MATCH(A14,'Matérias-Primas'!$A$5:$A$45,0)),0))</f>
        <v>0</v>
      </c>
      <c r="F14" s="20" t="n">
        <f aca="false">IF(A14="",0,C14*IFERROR(INDEX('Matérias-Primas'!$G$5:$G$45,MATCH(A14,'Matérias-Primas'!$A$5:$A$45,0)),0))</f>
        <v>0</v>
      </c>
      <c r="G14" s="20" t="n">
        <f aca="false">IF(A14="",0,C14*IFERROR(INDEX('Matérias-Primas'!$H$5:$H$45,MATCH(A14,'Matérias-Primas'!$A$5:$A$45,0)),0))</f>
        <v>0</v>
      </c>
      <c r="H14" s="20" t="n">
        <f aca="false">IF(A14="",0,C14*IFERROR(INDEX('Matérias-Primas'!$I$5:$I$45,MATCH(A14,'Matérias-Primas'!$A$5:$A$45,0)),0))</f>
        <v>0</v>
      </c>
      <c r="I14" s="20" t="n">
        <f aca="false">IF(A14="",0,C14*IFERROR(INDEX('Matérias-Primas'!$J$5:$J$45,MATCH(A14,'Matérias-Primas'!$A$5:$A$45,0)),0))</f>
        <v>0</v>
      </c>
      <c r="J14" s="20" t="n">
        <f aca="false">IF(A14="",0,C14*IFERROR(INDEX('Matérias-Primas'!$K$5:$K$45,MATCH(A14,'Matérias-Primas'!$A$5:$A$45,0)),0))</f>
        <v>0</v>
      </c>
      <c r="K14" s="20" t="n">
        <f aca="false">IF(A14="",0,C14*IFERROR(INDEX('Matérias-Primas'!$L$5:$L$45,MATCH(A14,'Matérias-Primas'!$A$5:$A$45,0)),0))</f>
        <v>0</v>
      </c>
      <c r="L14" s="20" t="n">
        <f aca="false">IF(A14="",0,C14*IFERROR(INDEX('Matérias-Primas'!$M$5:$M$45,MATCH(A14,'Matérias-Primas'!$A$5:$A$45,0)),0))</f>
        <v>0</v>
      </c>
      <c r="M14" s="20" t="n">
        <f aca="false">IF(A14="",0,C14*IFERROR(INDEX('Matérias-Primas'!$N$5:$N$45,MATCH(A14,'Matérias-Primas'!$A$5:$A$45,0)),0))</f>
        <v>0</v>
      </c>
      <c r="N14" s="20" t="n">
        <f aca="false">IF(A14="",0,C14*IFERROR(INDEX('Matérias-Primas'!$O$5:$O$45,MATCH(A14,'Matérias-Primas'!$A$5:$A$45,0)),0))</f>
        <v>0</v>
      </c>
      <c r="O14" s="20" t="n">
        <f aca="false">IF(A14="",0,C14*IFERROR(INDEX('Matérias-Primas'!$P$5:$P$45,MATCH(A14,'Matérias-Primas'!$A$5:$A$45,0)),0))</f>
        <v>0</v>
      </c>
      <c r="P14" s="20" t="n">
        <f aca="false">IF(A14="",0,C14*IFERROR(INDEX('Matérias-Primas'!$Q$5:$Q$45,MATCH(A14,'Matérias-Primas'!$A$5:$A$45,0)),0))</f>
        <v>0</v>
      </c>
      <c r="Q14" s="20" t="n">
        <f aca="false">IF(A14="",0,C14*IFERROR(INDEX('Matérias-Primas'!$R$5:$R$45,MATCH(A14,'Matérias-Primas'!$A$5:$A$45,0)),0))</f>
        <v>0</v>
      </c>
    </row>
    <row r="15" customFormat="false" ht="15" hidden="false" customHeight="false" outlineLevel="0" collapsed="false">
      <c r="A15" s="5" t="s">
        <v>106</v>
      </c>
      <c r="B15" s="21" t="n">
        <f aca="false">SUM(B5:B14)</f>
        <v>100</v>
      </c>
      <c r="C15" s="22" t="n">
        <f aca="false">SUM(C5:C14)</f>
        <v>1</v>
      </c>
      <c r="D15" s="2"/>
      <c r="E15" s="23" t="n">
        <f aca="false">SUM(E5:E14)</f>
        <v>62.34</v>
      </c>
      <c r="F15" s="23" t="n">
        <f aca="false">SUM(F5:F14)</f>
        <v>11.6</v>
      </c>
      <c r="G15" s="23" t="n">
        <f aca="false">SUM(G5:G14)</f>
        <v>4.62</v>
      </c>
      <c r="H15" s="23" t="n">
        <f aca="false">SUM(H5:H14)</f>
        <v>2.66</v>
      </c>
      <c r="I15" s="23" t="n">
        <f aca="false">SUM(I5:I14)</f>
        <v>2.2</v>
      </c>
      <c r="J15" s="23" t="n">
        <f aca="false">SUM(J5:J14)</f>
        <v>0</v>
      </c>
      <c r="K15" s="23" t="n">
        <f aca="false">SUM(K5:K14)</f>
        <v>13.72</v>
      </c>
      <c r="L15" s="23" t="n">
        <f aca="false">SUM(L5:L14)</f>
        <v>0</v>
      </c>
      <c r="M15" s="23" t="n">
        <f aca="false">SUM(M5:M14)</f>
        <v>0</v>
      </c>
      <c r="N15" s="23" t="n">
        <f aca="false">SUM(N5:N14)</f>
        <v>0</v>
      </c>
      <c r="O15" s="23" t="n">
        <f aca="false">SUM(O5:O14)</f>
        <v>0</v>
      </c>
      <c r="P15" s="23" t="n">
        <f aca="false">SUM(P5:P14)</f>
        <v>0.04</v>
      </c>
      <c r="Q15" s="23" t="n">
        <f aca="false">SUM(Q5:Q14)</f>
        <v>0</v>
      </c>
    </row>
    <row r="16" customFormat="false" ht="15" hidden="false" customHeight="false" outlineLevel="0" collapsed="false">
      <c r="A16" s="5" t="s">
        <v>107</v>
      </c>
      <c r="B16" s="2"/>
      <c r="C16" s="2"/>
      <c r="D16" s="2"/>
      <c r="E16" s="24" t="n">
        <f aca="false">'Matérias-Primas'!F3</f>
        <v>60.08</v>
      </c>
      <c r="F16" s="24" t="n">
        <f aca="false">'Matérias-Primas'!G3</f>
        <v>101.96</v>
      </c>
      <c r="G16" s="24" t="n">
        <f aca="false">'Matérias-Primas'!H3</f>
        <v>69.62</v>
      </c>
      <c r="H16" s="24" t="n">
        <f aca="false">'Matérias-Primas'!I3</f>
        <v>61.98</v>
      </c>
      <c r="I16" s="24" t="n">
        <f aca="false">'Matérias-Primas'!J3</f>
        <v>94.2</v>
      </c>
      <c r="J16" s="24" t="n">
        <f aca="false">'Matérias-Primas'!K3</f>
        <v>29.88</v>
      </c>
      <c r="K16" s="24" t="n">
        <f aca="false">'Matérias-Primas'!L3</f>
        <v>56.08</v>
      </c>
      <c r="L16" s="24" t="n">
        <f aca="false">'Matérias-Primas'!M3</f>
        <v>40.3</v>
      </c>
      <c r="M16" s="24" t="n">
        <f aca="false">'Matérias-Primas'!N3</f>
        <v>103.62</v>
      </c>
      <c r="N16" s="24" t="n">
        <f aca="false">'Matérias-Primas'!O3</f>
        <v>81.38</v>
      </c>
      <c r="O16" s="24" t="n">
        <f aca="false">'Matérias-Primas'!P3</f>
        <v>123.22</v>
      </c>
      <c r="P16" s="24" t="n">
        <f aca="false">'Matérias-Primas'!Q3</f>
        <v>159.69</v>
      </c>
      <c r="Q16" s="24" t="n">
        <f aca="false">'Matérias-Primas'!R3</f>
        <v>79.87</v>
      </c>
    </row>
    <row r="17" customFormat="false" ht="15" hidden="false" customHeight="false" outlineLevel="0" collapsed="false">
      <c r="A17" s="5" t="s">
        <v>108</v>
      </c>
      <c r="B17" s="2"/>
      <c r="C17" s="3" t="s">
        <v>109</v>
      </c>
      <c r="D17" s="25" t="n">
        <f aca="false">H17+I17+J17+K17+L17+M17+N17</f>
        <v>0.31092213406516</v>
      </c>
      <c r="E17" s="25" t="n">
        <f aca="false">E15/E16</f>
        <v>1.03761651131824</v>
      </c>
      <c r="F17" s="25" t="n">
        <f aca="false">F15/F16</f>
        <v>0.113770105923892</v>
      </c>
      <c r="G17" s="25" t="n">
        <f aca="false">G15/G16</f>
        <v>0.0663602413099684</v>
      </c>
      <c r="H17" s="25" t="n">
        <f aca="false">H15/H16</f>
        <v>0.0429170700225879</v>
      </c>
      <c r="I17" s="25" t="n">
        <f aca="false">I15/I16</f>
        <v>0.0233545647558386</v>
      </c>
      <c r="J17" s="25" t="n">
        <f aca="false">J15/J16</f>
        <v>0</v>
      </c>
      <c r="K17" s="25" t="n">
        <f aca="false">K15/K16</f>
        <v>0.244650499286733</v>
      </c>
      <c r="L17" s="25" t="n">
        <f aca="false">L15/L16</f>
        <v>0</v>
      </c>
      <c r="M17" s="25" t="n">
        <f aca="false">M15/M16</f>
        <v>0</v>
      </c>
      <c r="N17" s="25" t="n">
        <f aca="false">N15/N16</f>
        <v>0</v>
      </c>
      <c r="O17" s="25" t="n">
        <f aca="false">O15/O16</f>
        <v>0</v>
      </c>
      <c r="P17" s="25" t="n">
        <f aca="false">P15/P16</f>
        <v>0.000250485315298391</v>
      </c>
      <c r="Q17" s="25" t="n">
        <f aca="false">Q15/Q16</f>
        <v>0</v>
      </c>
    </row>
    <row r="18" customFormat="false" ht="15" hidden="false" customHeight="false" outlineLevel="0" collapsed="false">
      <c r="A18" s="5" t="s">
        <v>110</v>
      </c>
      <c r="B18" s="2"/>
      <c r="C18" s="2"/>
      <c r="D18" s="2"/>
      <c r="E18" s="26" t="n">
        <f aca="false">IF($D$17=0,0,E17/$D$17)</f>
        <v>3.33722304601444</v>
      </c>
      <c r="F18" s="26" t="n">
        <f aca="false">IF($D$17=0,0,F17/$D$17)</f>
        <v>0.365911890660216</v>
      </c>
      <c r="G18" s="26" t="n">
        <f aca="false">IF($D$17=0,0,G17/$D$17)</f>
        <v>0.213430418871566</v>
      </c>
      <c r="H18" s="26" t="n">
        <f aca="false">IF($D$17=0,0,H17/$D$17)</f>
        <v>0.138031569066723</v>
      </c>
      <c r="I18" s="26" t="n">
        <f aca="false">IF($D$17=0,0,I17/$D$17)</f>
        <v>0.0751138699921063</v>
      </c>
      <c r="J18" s="26" t="n">
        <f aca="false">IF($D$17=0,0,J17/$D$17)</f>
        <v>0</v>
      </c>
      <c r="K18" s="26" t="n">
        <f aca="false">IF($D$17=0,0,K17/$D$17)</f>
        <v>0.786854560941171</v>
      </c>
      <c r="L18" s="26" t="n">
        <f aca="false">IF($D$17=0,0,L17/$D$17)</f>
        <v>0</v>
      </c>
      <c r="M18" s="26" t="n">
        <f aca="false">IF($D$17=0,0,M17/$D$17)</f>
        <v>0</v>
      </c>
      <c r="N18" s="26" t="n">
        <f aca="false">IF($D$17=0,0,N17/$D$17)</f>
        <v>0</v>
      </c>
      <c r="O18" s="26" t="n">
        <f aca="false">IF($D$17=0,0,O17/$D$17)</f>
        <v>0</v>
      </c>
      <c r="P18" s="26" t="n">
        <f aca="false">IF($D$17=0,0,P17/$D$17)</f>
        <v>0.000805620725753467</v>
      </c>
      <c r="Q18" s="26" t="n">
        <f aca="false">IF($D$17=0,0,Q17/$D$17)</f>
        <v>0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15" hidden="false" customHeight="false" outlineLevel="0" collapsed="false">
      <c r="A20" s="4" t="s">
        <v>111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customFormat="false" ht="15" hidden="false" customHeight="false" outlineLevel="0" collapsed="false">
      <c r="A21" s="12" t="s">
        <v>112</v>
      </c>
      <c r="B21" s="12" t="s">
        <v>113</v>
      </c>
      <c r="C21" s="12" t="s">
        <v>114</v>
      </c>
      <c r="D21" s="12" t="s">
        <v>115</v>
      </c>
      <c r="E21" s="12" t="s">
        <v>116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customFormat="false" ht="15" hidden="false" customHeight="false" outlineLevel="0" collapsed="false">
      <c r="A22" s="27" t="s">
        <v>117</v>
      </c>
      <c r="B22" s="28" t="n">
        <f aca="false">E18</f>
        <v>3.33722304601444</v>
      </c>
      <c r="C22" s="29" t="n">
        <v>3</v>
      </c>
      <c r="D22" s="29" t="n">
        <v>4</v>
      </c>
      <c r="E22" s="30" t="str">
        <f aca="false">IF(AND(B22&gt;=C22,B22&lt;=D22),"OK","Ajustar")</f>
        <v>OK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customFormat="false" ht="15" hidden="false" customHeight="false" outlineLevel="0" collapsed="false">
      <c r="A23" s="27" t="s">
        <v>118</v>
      </c>
      <c r="B23" s="28" t="n">
        <f aca="false">F18</f>
        <v>0.365911890660216</v>
      </c>
      <c r="C23" s="29" t="n">
        <v>0.3</v>
      </c>
      <c r="D23" s="29" t="n">
        <v>0.4</v>
      </c>
      <c r="E23" s="30" t="str">
        <f aca="false">IF(AND(B23&gt;=C23,B23&lt;=D23),"OK","Ajustar")</f>
        <v>OK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customFormat="false" ht="15" hidden="false" customHeight="false" outlineLevel="0" collapsed="false">
      <c r="A24" s="27" t="s">
        <v>119</v>
      </c>
      <c r="B24" s="28" t="n">
        <f aca="false">G18</f>
        <v>0.213430418871566</v>
      </c>
      <c r="C24" s="29" t="n">
        <v>0.1</v>
      </c>
      <c r="D24" s="29" t="n">
        <v>0.3</v>
      </c>
      <c r="E24" s="30" t="str">
        <f aca="false">IF(AND(B24&gt;=C24,B24&lt;=D24),"OK","Ajustar")</f>
        <v>OK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customFormat="false" ht="15" hidden="false" customHeight="false" outlineLevel="0" collapsed="false">
      <c r="A25" s="27" t="s">
        <v>120</v>
      </c>
      <c r="B25" s="28" t="n">
        <f aca="false">IF(F18=0,0,E18/F18)</f>
        <v>9.12029133569035</v>
      </c>
      <c r="C25" s="29" t="n">
        <v>8</v>
      </c>
      <c r="D25" s="29" t="n">
        <v>10</v>
      </c>
      <c r="E25" s="30" t="str">
        <f aca="false">IF(AND(B25&gt;=C25,B25&lt;=D25),"OK","Ajustar")</f>
        <v>OK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customFormat="false" ht="15" hidden="false" customHeight="false" outlineLevel="0" collapsed="false">
      <c r="A27" s="5" t="s">
        <v>121</v>
      </c>
      <c r="B27" s="31" t="n">
        <f aca="false">SUMPRODUCT(C5:C14,D5:D14)</f>
        <v>6.2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customFormat="false" ht="15" hidden="false" customHeight="false" outlineLevel="0" collapsed="false">
      <c r="A28" s="3" t="s">
        <v>122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</sheetData>
  <conditionalFormatting sqref="E22:E2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"Ajustar"</formula>
    </cfRule>
  </conditionalFormatting>
  <dataValidations count="1">
    <dataValidation allowBlank="true" errorStyle="stop" operator="between" showDropDown="false" showErrorMessage="false" showInputMessage="false" sqref="A5:A14" type="list">
      <formula1>'Matérias-Primas'!$A$5:$A$45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7" min="2" style="0" width="11"/>
  </cols>
  <sheetData>
    <row r="1" customFormat="false" ht="17.35" hidden="false" customHeight="false" outlineLevel="0" collapsed="false">
      <c r="A1" s="1" t="s">
        <v>123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3" t="s">
        <v>90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5.05" hidden="false" customHeight="false" outlineLevel="0" collapsed="false">
      <c r="A4" s="12" t="s">
        <v>34</v>
      </c>
      <c r="B4" s="12" t="s">
        <v>91</v>
      </c>
      <c r="C4" s="12" t="s">
        <v>92</v>
      </c>
      <c r="D4" s="12" t="s">
        <v>37</v>
      </c>
      <c r="E4" s="12" t="s">
        <v>93</v>
      </c>
      <c r="F4" s="12" t="s">
        <v>94</v>
      </c>
      <c r="G4" s="12" t="s">
        <v>95</v>
      </c>
      <c r="H4" s="12" t="s">
        <v>96</v>
      </c>
      <c r="I4" s="12" t="s">
        <v>97</v>
      </c>
      <c r="J4" s="12" t="s">
        <v>98</v>
      </c>
      <c r="K4" s="12" t="s">
        <v>99</v>
      </c>
      <c r="L4" s="12" t="s">
        <v>100</v>
      </c>
      <c r="M4" s="12" t="s">
        <v>101</v>
      </c>
      <c r="N4" s="12" t="s">
        <v>102</v>
      </c>
      <c r="O4" s="12" t="s">
        <v>103</v>
      </c>
      <c r="P4" s="12" t="s">
        <v>104</v>
      </c>
      <c r="Q4" s="12" t="s">
        <v>105</v>
      </c>
    </row>
    <row r="5" customFormat="false" ht="15" hidden="false" customHeight="false" outlineLevel="0" collapsed="false">
      <c r="A5" s="13" t="s">
        <v>53</v>
      </c>
      <c r="B5" s="15" t="n">
        <v>30</v>
      </c>
      <c r="C5" s="18" t="n">
        <f aca="false">IF(B5="","",B5/SUM($B$5:$B$14))</f>
        <v>0.3</v>
      </c>
      <c r="D5" s="19" t="n">
        <f aca="false">IF(A5="","",IFERROR(INDEX('Matérias-Primas'!$D$5:$D$45,MATCH(A5,'Matérias-Primas'!$A$5:$A$45,0)),0))</f>
        <v>3.5</v>
      </c>
      <c r="E5" s="20" t="n">
        <f aca="false">IF(A5="",0,C5*IFERROR(INDEX('Matérias-Primas'!$F$5:$F$45,MATCH(A5,'Matérias-Primas'!$A$5:$A$45,0)),0))</f>
        <v>20.1</v>
      </c>
      <c r="F5" s="20" t="n">
        <f aca="false">IF(A5="",0,C5*IFERROR(INDEX('Matérias-Primas'!$G$5:$G$45,MATCH(A5,'Matérias-Primas'!$A$5:$A$45,0)),0))</f>
        <v>5.55</v>
      </c>
      <c r="G5" s="20" t="n">
        <f aca="false">IF(A5="",0,C5*IFERROR(INDEX('Matérias-Primas'!$H$5:$H$45,MATCH(A5,'Matérias-Primas'!$A$5:$A$45,0)),0))</f>
        <v>0</v>
      </c>
      <c r="H5" s="20" t="n">
        <f aca="false">IF(A5="",0,C5*IFERROR(INDEX('Matérias-Primas'!$I$5:$I$45,MATCH(A5,'Matérias-Primas'!$A$5:$A$45,0)),0))</f>
        <v>0.9</v>
      </c>
      <c r="I5" s="20" t="n">
        <f aca="false">IF(A5="",0,C5*IFERROR(INDEX('Matérias-Primas'!$J$5:$J$45,MATCH(A5,'Matérias-Primas'!$A$5:$A$45,0)),0))</f>
        <v>3.3</v>
      </c>
      <c r="J5" s="20" t="n">
        <f aca="false">IF(A5="",0,C5*IFERROR(INDEX('Matérias-Primas'!$K$5:$K$45,MATCH(A5,'Matérias-Primas'!$A$5:$A$45,0)),0))</f>
        <v>0</v>
      </c>
      <c r="K5" s="20" t="n">
        <f aca="false">IF(A5="",0,C5*IFERROR(INDEX('Matérias-Primas'!$L$5:$L$45,MATCH(A5,'Matérias-Primas'!$A$5:$A$45,0)),0))</f>
        <v>0.06</v>
      </c>
      <c r="L5" s="20" t="n">
        <f aca="false">IF(A5="",0,C5*IFERROR(INDEX('Matérias-Primas'!$M$5:$M$45,MATCH(A5,'Matérias-Primas'!$A$5:$A$45,0)),0))</f>
        <v>0</v>
      </c>
      <c r="M5" s="20" t="n">
        <f aca="false">IF(A5="",0,C5*IFERROR(INDEX('Matérias-Primas'!$N$5:$N$45,MATCH(A5,'Matérias-Primas'!$A$5:$A$45,0)),0))</f>
        <v>0</v>
      </c>
      <c r="N5" s="20" t="n">
        <f aca="false">IF(A5="",0,C5*IFERROR(INDEX('Matérias-Primas'!$O$5:$O$45,MATCH(A5,'Matérias-Primas'!$A$5:$A$45,0)),0))</f>
        <v>0</v>
      </c>
      <c r="O5" s="20" t="n">
        <f aca="false">IF(A5="",0,C5*IFERROR(INDEX('Matérias-Primas'!$P$5:$P$45,MATCH(A5,'Matérias-Primas'!$A$5:$A$45,0)),0))</f>
        <v>0</v>
      </c>
      <c r="P5" s="20" t="n">
        <f aca="false">IF(A5="",0,C5*IFERROR(INDEX('Matérias-Primas'!$Q$5:$Q$45,MATCH(A5,'Matérias-Primas'!$A$5:$A$45,0)),0))</f>
        <v>0.03</v>
      </c>
      <c r="Q5" s="20" t="n">
        <f aca="false">IF(A5="",0,C5*IFERROR(INDEX('Matérias-Primas'!$R$5:$R$45,MATCH(A5,'Matérias-Primas'!$A$5:$A$45,0)),0))</f>
        <v>0</v>
      </c>
    </row>
    <row r="6" customFormat="false" ht="15" hidden="false" customHeight="false" outlineLevel="0" collapsed="false">
      <c r="A6" s="13" t="s">
        <v>66</v>
      </c>
      <c r="B6" s="15" t="n">
        <v>12</v>
      </c>
      <c r="C6" s="18" t="n">
        <f aca="false">IF(B6="","",B6/SUM($B$5:$B$14))</f>
        <v>0.12</v>
      </c>
      <c r="D6" s="19" t="n">
        <f aca="false">IF(A6="","",IFERROR(INDEX('Matérias-Primas'!$D$5:$D$45,MATCH(A6,'Matérias-Primas'!$A$5:$A$45,0)),0))</f>
        <v>15</v>
      </c>
      <c r="E6" s="20" t="n">
        <f aca="false">IF(A6="",0,C6*IFERROR(INDEX('Matérias-Primas'!$F$5:$F$45,MATCH(A6,'Matérias-Primas'!$A$5:$A$45,0)),0))</f>
        <v>5.58</v>
      </c>
      <c r="F6" s="20" t="n">
        <f aca="false">IF(A6="",0,C6*IFERROR(INDEX('Matérias-Primas'!$G$5:$G$45,MATCH(A6,'Matérias-Primas'!$A$5:$A$45,0)),0))</f>
        <v>0</v>
      </c>
      <c r="G6" s="20" t="n">
        <f aca="false">IF(A6="",0,C6*IFERROR(INDEX('Matérias-Primas'!$H$5:$H$45,MATCH(A6,'Matérias-Primas'!$A$5:$A$45,0)),0))</f>
        <v>2.772</v>
      </c>
      <c r="H6" s="20" t="n">
        <f aca="false">IF(A6="",0,C6*IFERROR(INDEX('Matérias-Primas'!$I$5:$I$45,MATCH(A6,'Matérias-Primas'!$A$5:$A$45,0)),0))</f>
        <v>1.236</v>
      </c>
      <c r="I6" s="20" t="n">
        <f aca="false">IF(A6="",0,C6*IFERROR(INDEX('Matérias-Primas'!$J$5:$J$45,MATCH(A6,'Matérias-Primas'!$A$5:$A$45,0)),0))</f>
        <v>0</v>
      </c>
      <c r="J6" s="20" t="n">
        <f aca="false">IF(A6="",0,C6*IFERROR(INDEX('Matérias-Primas'!$K$5:$K$45,MATCH(A6,'Matérias-Primas'!$A$5:$A$45,0)),0))</f>
        <v>0</v>
      </c>
      <c r="K6" s="20" t="n">
        <f aca="false">IF(A6="",0,C6*IFERROR(INDEX('Matérias-Primas'!$L$5:$L$45,MATCH(A6,'Matérias-Primas'!$A$5:$A$45,0)),0))</f>
        <v>2.412</v>
      </c>
      <c r="L6" s="20" t="n">
        <f aca="false">IF(A6="",0,C6*IFERROR(INDEX('Matérias-Primas'!$M$5:$M$45,MATCH(A6,'Matérias-Primas'!$A$5:$A$45,0)),0))</f>
        <v>0</v>
      </c>
      <c r="M6" s="20" t="n">
        <f aca="false">IF(A6="",0,C6*IFERROR(INDEX('Matérias-Primas'!$N$5:$N$45,MATCH(A6,'Matérias-Primas'!$A$5:$A$45,0)),0))</f>
        <v>0</v>
      </c>
      <c r="N6" s="20" t="n">
        <f aca="false">IF(A6="",0,C6*IFERROR(INDEX('Matérias-Primas'!$O$5:$O$45,MATCH(A6,'Matérias-Primas'!$A$5:$A$45,0)),0))</f>
        <v>0</v>
      </c>
      <c r="O6" s="20" t="n">
        <f aca="false">IF(A6="",0,C6*IFERROR(INDEX('Matérias-Primas'!$P$5:$P$45,MATCH(A6,'Matérias-Primas'!$A$5:$A$45,0)),0))</f>
        <v>0</v>
      </c>
      <c r="P6" s="20" t="n">
        <f aca="false">IF(A6="",0,C6*IFERROR(INDEX('Matérias-Primas'!$Q$5:$Q$45,MATCH(A6,'Matérias-Primas'!$A$5:$A$45,0)),0))</f>
        <v>0</v>
      </c>
      <c r="Q6" s="20" t="n">
        <f aca="false">IF(A6="",0,C6*IFERROR(INDEX('Matérias-Primas'!$R$5:$R$45,MATCH(A6,'Matérias-Primas'!$A$5:$A$45,0)),0))</f>
        <v>0</v>
      </c>
    </row>
    <row r="7" customFormat="false" ht="15" hidden="false" customHeight="false" outlineLevel="0" collapsed="false">
      <c r="A7" s="13" t="s">
        <v>60</v>
      </c>
      <c r="B7" s="15" t="n">
        <v>22</v>
      </c>
      <c r="C7" s="18" t="n">
        <f aca="false">IF(B7="","",B7/SUM($B$5:$B$14))</f>
        <v>0.22</v>
      </c>
      <c r="D7" s="19" t="n">
        <f aca="false">IF(A7="","",IFERROR(INDEX('Matérias-Primas'!$D$5:$D$45,MATCH(A7,'Matérias-Primas'!$A$5:$A$45,0)),0))</f>
        <v>8</v>
      </c>
      <c r="E7" s="20" t="n">
        <f aca="false">IF(A7="",0,C7*IFERROR(INDEX('Matérias-Primas'!$F$5:$F$45,MATCH(A7,'Matérias-Primas'!$A$5:$A$45,0)),0))</f>
        <v>11.374</v>
      </c>
      <c r="F7" s="20" t="n">
        <f aca="false">IF(A7="",0,C7*IFERROR(INDEX('Matérias-Primas'!$G$5:$G$45,MATCH(A7,'Matérias-Primas'!$A$5:$A$45,0)),0))</f>
        <v>0</v>
      </c>
      <c r="G7" s="20" t="n">
        <f aca="false">IF(A7="",0,C7*IFERROR(INDEX('Matérias-Primas'!$H$5:$H$45,MATCH(A7,'Matérias-Primas'!$A$5:$A$45,0)),0))</f>
        <v>0</v>
      </c>
      <c r="H7" s="20" t="n">
        <f aca="false">IF(A7="",0,C7*IFERROR(INDEX('Matérias-Primas'!$I$5:$I$45,MATCH(A7,'Matérias-Primas'!$A$5:$A$45,0)),0))</f>
        <v>0</v>
      </c>
      <c r="I7" s="20" t="n">
        <f aca="false">IF(A7="",0,C7*IFERROR(INDEX('Matérias-Primas'!$J$5:$J$45,MATCH(A7,'Matérias-Primas'!$A$5:$A$45,0)),0))</f>
        <v>0</v>
      </c>
      <c r="J7" s="20" t="n">
        <f aca="false">IF(A7="",0,C7*IFERROR(INDEX('Matérias-Primas'!$K$5:$K$45,MATCH(A7,'Matérias-Primas'!$A$5:$A$45,0)),0))</f>
        <v>0</v>
      </c>
      <c r="K7" s="20" t="n">
        <f aca="false">IF(A7="",0,C7*IFERROR(INDEX('Matérias-Primas'!$L$5:$L$45,MATCH(A7,'Matérias-Primas'!$A$5:$A$45,0)),0))</f>
        <v>10.626</v>
      </c>
      <c r="L7" s="20" t="n">
        <f aca="false">IF(A7="",0,C7*IFERROR(INDEX('Matérias-Primas'!$M$5:$M$45,MATCH(A7,'Matérias-Primas'!$A$5:$A$45,0)),0))</f>
        <v>0</v>
      </c>
      <c r="M7" s="20" t="n">
        <f aca="false">IF(A7="",0,C7*IFERROR(INDEX('Matérias-Primas'!$N$5:$N$45,MATCH(A7,'Matérias-Primas'!$A$5:$A$45,0)),0))</f>
        <v>0</v>
      </c>
      <c r="N7" s="20" t="n">
        <f aca="false">IF(A7="",0,C7*IFERROR(INDEX('Matérias-Primas'!$O$5:$O$45,MATCH(A7,'Matérias-Primas'!$A$5:$A$45,0)),0))</f>
        <v>0</v>
      </c>
      <c r="O7" s="20" t="n">
        <f aca="false">IF(A7="",0,C7*IFERROR(INDEX('Matérias-Primas'!$P$5:$P$45,MATCH(A7,'Matérias-Primas'!$A$5:$A$45,0)),0))</f>
        <v>0</v>
      </c>
      <c r="P7" s="20" t="n">
        <f aca="false">IF(A7="",0,C7*IFERROR(INDEX('Matérias-Primas'!$Q$5:$Q$45,MATCH(A7,'Matérias-Primas'!$A$5:$A$45,0)),0))</f>
        <v>0</v>
      </c>
      <c r="Q7" s="20" t="n">
        <f aca="false">IF(A7="",0,C7*IFERROR(INDEX('Matérias-Primas'!$R$5:$R$45,MATCH(A7,'Matérias-Primas'!$A$5:$A$45,0)),0))</f>
        <v>0</v>
      </c>
    </row>
    <row r="8" customFormat="false" ht="15" hidden="false" customHeight="false" outlineLevel="0" collapsed="false">
      <c r="A8" s="13" t="s">
        <v>61</v>
      </c>
      <c r="B8" s="15" t="n">
        <v>6</v>
      </c>
      <c r="C8" s="18" t="n">
        <f aca="false">IF(B8="","",B8/SUM($B$5:$B$14))</f>
        <v>0.06</v>
      </c>
      <c r="D8" s="19" t="n">
        <f aca="false">IF(A8="","",IFERROR(INDEX('Matérias-Primas'!$D$5:$D$45,MATCH(A8,'Matérias-Primas'!$A$5:$A$45,0)),0))</f>
        <v>2</v>
      </c>
      <c r="E8" s="20" t="n">
        <f aca="false">IF(A8="",0,C8*IFERROR(INDEX('Matérias-Primas'!$F$5:$F$45,MATCH(A8,'Matérias-Primas'!$A$5:$A$45,0)),0))</f>
        <v>0</v>
      </c>
      <c r="F8" s="20" t="n">
        <f aca="false">IF(A8="",0,C8*IFERROR(INDEX('Matérias-Primas'!$G$5:$G$45,MATCH(A8,'Matérias-Primas'!$A$5:$A$45,0)),0))</f>
        <v>0</v>
      </c>
      <c r="G8" s="20" t="n">
        <f aca="false">IF(A8="",0,C8*IFERROR(INDEX('Matérias-Primas'!$H$5:$H$45,MATCH(A8,'Matérias-Primas'!$A$5:$A$45,0)),0))</f>
        <v>0</v>
      </c>
      <c r="H8" s="20" t="n">
        <f aca="false">IF(A8="",0,C8*IFERROR(INDEX('Matérias-Primas'!$I$5:$I$45,MATCH(A8,'Matérias-Primas'!$A$5:$A$45,0)),0))</f>
        <v>0</v>
      </c>
      <c r="I8" s="20" t="n">
        <f aca="false">IF(A8="",0,C8*IFERROR(INDEX('Matérias-Primas'!$J$5:$J$45,MATCH(A8,'Matérias-Primas'!$A$5:$A$45,0)),0))</f>
        <v>0</v>
      </c>
      <c r="J8" s="20" t="n">
        <f aca="false">IF(A8="",0,C8*IFERROR(INDEX('Matérias-Primas'!$K$5:$K$45,MATCH(A8,'Matérias-Primas'!$A$5:$A$45,0)),0))</f>
        <v>0</v>
      </c>
      <c r="K8" s="20" t="n">
        <f aca="false">IF(A8="",0,C8*IFERROR(INDEX('Matérias-Primas'!$L$5:$L$45,MATCH(A8,'Matérias-Primas'!$A$5:$A$45,0)),0))</f>
        <v>3.36</v>
      </c>
      <c r="L8" s="20" t="n">
        <f aca="false">IF(A8="",0,C8*IFERROR(INDEX('Matérias-Primas'!$M$5:$M$45,MATCH(A8,'Matérias-Primas'!$A$5:$A$45,0)),0))</f>
        <v>0</v>
      </c>
      <c r="M8" s="20" t="n">
        <f aca="false">IF(A8="",0,C8*IFERROR(INDEX('Matérias-Primas'!$N$5:$N$45,MATCH(A8,'Matérias-Primas'!$A$5:$A$45,0)),0))</f>
        <v>0</v>
      </c>
      <c r="N8" s="20" t="n">
        <f aca="false">IF(A8="",0,C8*IFERROR(INDEX('Matérias-Primas'!$O$5:$O$45,MATCH(A8,'Matérias-Primas'!$A$5:$A$45,0)),0))</f>
        <v>0</v>
      </c>
      <c r="O8" s="20" t="n">
        <f aca="false">IF(A8="",0,C8*IFERROR(INDEX('Matérias-Primas'!$P$5:$P$45,MATCH(A8,'Matérias-Primas'!$A$5:$A$45,0)),0))</f>
        <v>0</v>
      </c>
      <c r="P8" s="20" t="n">
        <f aca="false">IF(A8="",0,C8*IFERROR(INDEX('Matérias-Primas'!$Q$5:$Q$45,MATCH(A8,'Matérias-Primas'!$A$5:$A$45,0)),0))</f>
        <v>0</v>
      </c>
      <c r="Q8" s="20" t="n">
        <f aca="false">IF(A8="",0,C8*IFERROR(INDEX('Matérias-Primas'!$R$5:$R$45,MATCH(A8,'Matérias-Primas'!$A$5:$A$45,0)),0))</f>
        <v>0</v>
      </c>
    </row>
    <row r="9" customFormat="false" ht="15" hidden="false" customHeight="false" outlineLevel="0" collapsed="false">
      <c r="A9" s="13" t="s">
        <v>56</v>
      </c>
      <c r="B9" s="15" t="n">
        <v>25</v>
      </c>
      <c r="C9" s="18" t="n">
        <f aca="false">IF(B9="","",B9/SUM($B$5:$B$14))</f>
        <v>0.25</v>
      </c>
      <c r="D9" s="19" t="n">
        <f aca="false">IF(A9="","",IFERROR(INDEX('Matérias-Primas'!$D$5:$D$45,MATCH(A9,'Matérias-Primas'!$A$5:$A$45,0)),0))</f>
        <v>2.5</v>
      </c>
      <c r="E9" s="20" t="n">
        <f aca="false">IF(A9="",0,C9*IFERROR(INDEX('Matérias-Primas'!$F$5:$F$45,MATCH(A9,'Matérias-Primas'!$A$5:$A$45,0)),0))</f>
        <v>11.625</v>
      </c>
      <c r="F9" s="20" t="n">
        <f aca="false">IF(A9="",0,C9*IFERROR(INDEX('Matérias-Primas'!$G$5:$G$45,MATCH(A9,'Matérias-Primas'!$A$5:$A$45,0)),0))</f>
        <v>9.875</v>
      </c>
      <c r="G9" s="20" t="n">
        <f aca="false">IF(A9="",0,C9*IFERROR(INDEX('Matérias-Primas'!$H$5:$H$45,MATCH(A9,'Matérias-Primas'!$A$5:$A$45,0)),0))</f>
        <v>0</v>
      </c>
      <c r="H9" s="20" t="n">
        <f aca="false">IF(A9="",0,C9*IFERROR(INDEX('Matérias-Primas'!$I$5:$I$45,MATCH(A9,'Matérias-Primas'!$A$5:$A$45,0)),0))</f>
        <v>0</v>
      </c>
      <c r="I9" s="20" t="n">
        <f aca="false">IF(A9="",0,C9*IFERROR(INDEX('Matérias-Primas'!$J$5:$J$45,MATCH(A9,'Matérias-Primas'!$A$5:$A$45,0)),0))</f>
        <v>0</v>
      </c>
      <c r="J9" s="20" t="n">
        <f aca="false">IF(A9="",0,C9*IFERROR(INDEX('Matérias-Primas'!$K$5:$K$45,MATCH(A9,'Matérias-Primas'!$A$5:$A$45,0)),0))</f>
        <v>0</v>
      </c>
      <c r="K9" s="20" t="n">
        <f aca="false">IF(A9="",0,C9*IFERROR(INDEX('Matérias-Primas'!$L$5:$L$45,MATCH(A9,'Matérias-Primas'!$A$5:$A$45,0)),0))</f>
        <v>0</v>
      </c>
      <c r="L9" s="20" t="n">
        <f aca="false">IF(A9="",0,C9*IFERROR(INDEX('Matérias-Primas'!$M$5:$M$45,MATCH(A9,'Matérias-Primas'!$A$5:$A$45,0)),0))</f>
        <v>0</v>
      </c>
      <c r="M9" s="20" t="n">
        <f aca="false">IF(A9="",0,C9*IFERROR(INDEX('Matérias-Primas'!$N$5:$N$45,MATCH(A9,'Matérias-Primas'!$A$5:$A$45,0)),0))</f>
        <v>0</v>
      </c>
      <c r="N9" s="20" t="n">
        <f aca="false">IF(A9="",0,C9*IFERROR(INDEX('Matérias-Primas'!$O$5:$O$45,MATCH(A9,'Matérias-Primas'!$A$5:$A$45,0)),0))</f>
        <v>0</v>
      </c>
      <c r="O9" s="20" t="n">
        <f aca="false">IF(A9="",0,C9*IFERROR(INDEX('Matérias-Primas'!$P$5:$P$45,MATCH(A9,'Matérias-Primas'!$A$5:$A$45,0)),0))</f>
        <v>0</v>
      </c>
      <c r="P9" s="20" t="n">
        <f aca="false">IF(A9="",0,C9*IFERROR(INDEX('Matérias-Primas'!$Q$5:$Q$45,MATCH(A9,'Matérias-Primas'!$A$5:$A$45,0)),0))</f>
        <v>0.025</v>
      </c>
      <c r="Q9" s="20" t="n">
        <f aca="false">IF(A9="",0,C9*IFERROR(INDEX('Matérias-Primas'!$R$5:$R$45,MATCH(A9,'Matérias-Primas'!$A$5:$A$45,0)),0))</f>
        <v>0</v>
      </c>
    </row>
    <row r="10" customFormat="false" ht="15" hidden="false" customHeight="false" outlineLevel="0" collapsed="false">
      <c r="A10" s="13" t="s">
        <v>58</v>
      </c>
      <c r="B10" s="15" t="n">
        <v>5</v>
      </c>
      <c r="C10" s="18" t="n">
        <f aca="false">IF(B10="","",B10/SUM($B$5:$B$14))</f>
        <v>0.05</v>
      </c>
      <c r="D10" s="19" t="n">
        <f aca="false">IF(A10="","",IFERROR(INDEX('Matérias-Primas'!$D$5:$D$45,MATCH(A10,'Matérias-Primas'!$A$5:$A$45,0)),0))</f>
        <v>2</v>
      </c>
      <c r="E10" s="20" t="n">
        <f aca="false">IF(A10="",0,C10*IFERROR(INDEX('Matérias-Primas'!$F$5:$F$45,MATCH(A10,'Matérias-Primas'!$A$5:$A$45,0)),0))</f>
        <v>5</v>
      </c>
      <c r="F10" s="20" t="n">
        <f aca="false">IF(A10="",0,C10*IFERROR(INDEX('Matérias-Primas'!$G$5:$G$45,MATCH(A10,'Matérias-Primas'!$A$5:$A$45,0)),0))</f>
        <v>0</v>
      </c>
      <c r="G10" s="20" t="n">
        <f aca="false">IF(A10="",0,C10*IFERROR(INDEX('Matérias-Primas'!$H$5:$H$45,MATCH(A10,'Matérias-Primas'!$A$5:$A$45,0)),0))</f>
        <v>0</v>
      </c>
      <c r="H10" s="20" t="n">
        <f aca="false">IF(A10="",0,C10*IFERROR(INDEX('Matérias-Primas'!$I$5:$I$45,MATCH(A10,'Matérias-Primas'!$A$5:$A$45,0)),0))</f>
        <v>0</v>
      </c>
      <c r="I10" s="20" t="n">
        <f aca="false">IF(A10="",0,C10*IFERROR(INDEX('Matérias-Primas'!$J$5:$J$45,MATCH(A10,'Matérias-Primas'!$A$5:$A$45,0)),0))</f>
        <v>0</v>
      </c>
      <c r="J10" s="20" t="n">
        <f aca="false">IF(A10="",0,C10*IFERROR(INDEX('Matérias-Primas'!$K$5:$K$45,MATCH(A10,'Matérias-Primas'!$A$5:$A$45,0)),0))</f>
        <v>0</v>
      </c>
      <c r="K10" s="20" t="n">
        <f aca="false">IF(A10="",0,C10*IFERROR(INDEX('Matérias-Primas'!$L$5:$L$45,MATCH(A10,'Matérias-Primas'!$A$5:$A$45,0)),0))</f>
        <v>0</v>
      </c>
      <c r="L10" s="20" t="n">
        <f aca="false">IF(A10="",0,C10*IFERROR(INDEX('Matérias-Primas'!$M$5:$M$45,MATCH(A10,'Matérias-Primas'!$A$5:$A$45,0)),0))</f>
        <v>0</v>
      </c>
      <c r="M10" s="20" t="n">
        <f aca="false">IF(A10="",0,C10*IFERROR(INDEX('Matérias-Primas'!$N$5:$N$45,MATCH(A10,'Matérias-Primas'!$A$5:$A$45,0)),0))</f>
        <v>0</v>
      </c>
      <c r="N10" s="20" t="n">
        <f aca="false">IF(A10="",0,C10*IFERROR(INDEX('Matérias-Primas'!$O$5:$O$45,MATCH(A10,'Matérias-Primas'!$A$5:$A$45,0)),0))</f>
        <v>0</v>
      </c>
      <c r="O10" s="20" t="n">
        <f aca="false">IF(A10="",0,C10*IFERROR(INDEX('Matérias-Primas'!$P$5:$P$45,MATCH(A10,'Matérias-Primas'!$A$5:$A$45,0)),0))</f>
        <v>0</v>
      </c>
      <c r="P10" s="20" t="n">
        <f aca="false">IF(A10="",0,C10*IFERROR(INDEX('Matérias-Primas'!$Q$5:$Q$45,MATCH(A10,'Matérias-Primas'!$A$5:$A$45,0)),0))</f>
        <v>0</v>
      </c>
      <c r="Q10" s="20" t="n">
        <f aca="false">IF(A10="",0,C10*IFERROR(INDEX('Matérias-Primas'!$R$5:$R$45,MATCH(A10,'Matérias-Primas'!$A$5:$A$45,0)),0))</f>
        <v>0</v>
      </c>
    </row>
    <row r="11" customFormat="false" ht="15" hidden="false" customHeight="false" outlineLevel="0" collapsed="false">
      <c r="A11" s="13"/>
      <c r="B11" s="15"/>
      <c r="C11" s="18" t="str">
        <f aca="false">IF(B11="","",B11/SUM($B$5:$B$14))</f>
        <v/>
      </c>
      <c r="D11" s="19" t="str">
        <f aca="false">IF(A11="","",IFERROR(INDEX('Matérias-Primas'!$D$5:$D$45,MATCH(A11,'Matérias-Primas'!$A$5:$A$45,0)),0))</f>
        <v/>
      </c>
      <c r="E11" s="20" t="n">
        <f aca="false">IF(A11="",0,C11*IFERROR(INDEX('Matérias-Primas'!$F$5:$F$45,MATCH(A11,'Matérias-Primas'!$A$5:$A$45,0)),0))</f>
        <v>0</v>
      </c>
      <c r="F11" s="20" t="n">
        <f aca="false">IF(A11="",0,C11*IFERROR(INDEX('Matérias-Primas'!$G$5:$G$45,MATCH(A11,'Matérias-Primas'!$A$5:$A$45,0)),0))</f>
        <v>0</v>
      </c>
      <c r="G11" s="20" t="n">
        <f aca="false">IF(A11="",0,C11*IFERROR(INDEX('Matérias-Primas'!$H$5:$H$45,MATCH(A11,'Matérias-Primas'!$A$5:$A$45,0)),0))</f>
        <v>0</v>
      </c>
      <c r="H11" s="20" t="n">
        <f aca="false">IF(A11="",0,C11*IFERROR(INDEX('Matérias-Primas'!$I$5:$I$45,MATCH(A11,'Matérias-Primas'!$A$5:$A$45,0)),0))</f>
        <v>0</v>
      </c>
      <c r="I11" s="20" t="n">
        <f aca="false">IF(A11="",0,C11*IFERROR(INDEX('Matérias-Primas'!$J$5:$J$45,MATCH(A11,'Matérias-Primas'!$A$5:$A$45,0)),0))</f>
        <v>0</v>
      </c>
      <c r="J11" s="20" t="n">
        <f aca="false">IF(A11="",0,C11*IFERROR(INDEX('Matérias-Primas'!$K$5:$K$45,MATCH(A11,'Matérias-Primas'!$A$5:$A$45,0)),0))</f>
        <v>0</v>
      </c>
      <c r="K11" s="20" t="n">
        <f aca="false">IF(A11="",0,C11*IFERROR(INDEX('Matérias-Primas'!$L$5:$L$45,MATCH(A11,'Matérias-Primas'!$A$5:$A$45,0)),0))</f>
        <v>0</v>
      </c>
      <c r="L11" s="20" t="n">
        <f aca="false">IF(A11="",0,C11*IFERROR(INDEX('Matérias-Primas'!$M$5:$M$45,MATCH(A11,'Matérias-Primas'!$A$5:$A$45,0)),0))</f>
        <v>0</v>
      </c>
      <c r="M11" s="20" t="n">
        <f aca="false">IF(A11="",0,C11*IFERROR(INDEX('Matérias-Primas'!$N$5:$N$45,MATCH(A11,'Matérias-Primas'!$A$5:$A$45,0)),0))</f>
        <v>0</v>
      </c>
      <c r="N11" s="20" t="n">
        <f aca="false">IF(A11="",0,C11*IFERROR(INDEX('Matérias-Primas'!$O$5:$O$45,MATCH(A11,'Matérias-Primas'!$A$5:$A$45,0)),0))</f>
        <v>0</v>
      </c>
      <c r="O11" s="20" t="n">
        <f aca="false">IF(A11="",0,C11*IFERROR(INDEX('Matérias-Primas'!$P$5:$P$45,MATCH(A11,'Matérias-Primas'!$A$5:$A$45,0)),0))</f>
        <v>0</v>
      </c>
      <c r="P11" s="20" t="n">
        <f aca="false">IF(A11="",0,C11*IFERROR(INDEX('Matérias-Primas'!$Q$5:$Q$45,MATCH(A11,'Matérias-Primas'!$A$5:$A$45,0)),0))</f>
        <v>0</v>
      </c>
      <c r="Q11" s="20" t="n">
        <f aca="false">IF(A11="",0,C11*IFERROR(INDEX('Matérias-Primas'!$R$5:$R$45,MATCH(A11,'Matérias-Primas'!$A$5:$A$45,0)),0))</f>
        <v>0</v>
      </c>
    </row>
    <row r="12" customFormat="false" ht="15" hidden="false" customHeight="false" outlineLevel="0" collapsed="false">
      <c r="A12" s="13"/>
      <c r="B12" s="15"/>
      <c r="C12" s="18" t="str">
        <f aca="false">IF(B12="","",B12/SUM($B$5:$B$14))</f>
        <v/>
      </c>
      <c r="D12" s="19" t="str">
        <f aca="false">IF(A12="","",IFERROR(INDEX('Matérias-Primas'!$D$5:$D$45,MATCH(A12,'Matérias-Primas'!$A$5:$A$45,0)),0))</f>
        <v/>
      </c>
      <c r="E12" s="20" t="n">
        <f aca="false">IF(A12="",0,C12*IFERROR(INDEX('Matérias-Primas'!$F$5:$F$45,MATCH(A12,'Matérias-Primas'!$A$5:$A$45,0)),0))</f>
        <v>0</v>
      </c>
      <c r="F12" s="20" t="n">
        <f aca="false">IF(A12="",0,C12*IFERROR(INDEX('Matérias-Primas'!$G$5:$G$45,MATCH(A12,'Matérias-Primas'!$A$5:$A$45,0)),0))</f>
        <v>0</v>
      </c>
      <c r="G12" s="20" t="n">
        <f aca="false">IF(A12="",0,C12*IFERROR(INDEX('Matérias-Primas'!$H$5:$H$45,MATCH(A12,'Matérias-Primas'!$A$5:$A$45,0)),0))</f>
        <v>0</v>
      </c>
      <c r="H12" s="20" t="n">
        <f aca="false">IF(A12="",0,C12*IFERROR(INDEX('Matérias-Primas'!$I$5:$I$45,MATCH(A12,'Matérias-Primas'!$A$5:$A$45,0)),0))</f>
        <v>0</v>
      </c>
      <c r="I12" s="20" t="n">
        <f aca="false">IF(A12="",0,C12*IFERROR(INDEX('Matérias-Primas'!$J$5:$J$45,MATCH(A12,'Matérias-Primas'!$A$5:$A$45,0)),0))</f>
        <v>0</v>
      </c>
      <c r="J12" s="20" t="n">
        <f aca="false">IF(A12="",0,C12*IFERROR(INDEX('Matérias-Primas'!$K$5:$K$45,MATCH(A12,'Matérias-Primas'!$A$5:$A$45,0)),0))</f>
        <v>0</v>
      </c>
      <c r="K12" s="20" t="n">
        <f aca="false">IF(A12="",0,C12*IFERROR(INDEX('Matérias-Primas'!$L$5:$L$45,MATCH(A12,'Matérias-Primas'!$A$5:$A$45,0)),0))</f>
        <v>0</v>
      </c>
      <c r="L12" s="20" t="n">
        <f aca="false">IF(A12="",0,C12*IFERROR(INDEX('Matérias-Primas'!$M$5:$M$45,MATCH(A12,'Matérias-Primas'!$A$5:$A$45,0)),0))</f>
        <v>0</v>
      </c>
      <c r="M12" s="20" t="n">
        <f aca="false">IF(A12="",0,C12*IFERROR(INDEX('Matérias-Primas'!$N$5:$N$45,MATCH(A12,'Matérias-Primas'!$A$5:$A$45,0)),0))</f>
        <v>0</v>
      </c>
      <c r="N12" s="20" t="n">
        <f aca="false">IF(A12="",0,C12*IFERROR(INDEX('Matérias-Primas'!$O$5:$O$45,MATCH(A12,'Matérias-Primas'!$A$5:$A$45,0)),0))</f>
        <v>0</v>
      </c>
      <c r="O12" s="20" t="n">
        <f aca="false">IF(A12="",0,C12*IFERROR(INDEX('Matérias-Primas'!$P$5:$P$45,MATCH(A12,'Matérias-Primas'!$A$5:$A$45,0)),0))</f>
        <v>0</v>
      </c>
      <c r="P12" s="20" t="n">
        <f aca="false">IF(A12="",0,C12*IFERROR(INDEX('Matérias-Primas'!$Q$5:$Q$45,MATCH(A12,'Matérias-Primas'!$A$5:$A$45,0)),0))</f>
        <v>0</v>
      </c>
      <c r="Q12" s="20" t="n">
        <f aca="false">IF(A12="",0,C12*IFERROR(INDEX('Matérias-Primas'!$R$5:$R$45,MATCH(A12,'Matérias-Primas'!$A$5:$A$45,0)),0))</f>
        <v>0</v>
      </c>
    </row>
    <row r="13" customFormat="false" ht="15" hidden="false" customHeight="false" outlineLevel="0" collapsed="false">
      <c r="A13" s="13"/>
      <c r="B13" s="15"/>
      <c r="C13" s="18" t="str">
        <f aca="false">IF(B13="","",B13/SUM($B$5:$B$14))</f>
        <v/>
      </c>
      <c r="D13" s="19" t="str">
        <f aca="false">IF(A13="","",IFERROR(INDEX('Matérias-Primas'!$D$5:$D$45,MATCH(A13,'Matérias-Primas'!$A$5:$A$45,0)),0))</f>
        <v/>
      </c>
      <c r="E13" s="20" t="n">
        <f aca="false">IF(A13="",0,C13*IFERROR(INDEX('Matérias-Primas'!$F$5:$F$45,MATCH(A13,'Matérias-Primas'!$A$5:$A$45,0)),0))</f>
        <v>0</v>
      </c>
      <c r="F13" s="20" t="n">
        <f aca="false">IF(A13="",0,C13*IFERROR(INDEX('Matérias-Primas'!$G$5:$G$45,MATCH(A13,'Matérias-Primas'!$A$5:$A$45,0)),0))</f>
        <v>0</v>
      </c>
      <c r="G13" s="20" t="n">
        <f aca="false">IF(A13="",0,C13*IFERROR(INDEX('Matérias-Primas'!$H$5:$H$45,MATCH(A13,'Matérias-Primas'!$A$5:$A$45,0)),0))</f>
        <v>0</v>
      </c>
      <c r="H13" s="20" t="n">
        <f aca="false">IF(A13="",0,C13*IFERROR(INDEX('Matérias-Primas'!$I$5:$I$45,MATCH(A13,'Matérias-Primas'!$A$5:$A$45,0)),0))</f>
        <v>0</v>
      </c>
      <c r="I13" s="20" t="n">
        <f aca="false">IF(A13="",0,C13*IFERROR(INDEX('Matérias-Primas'!$J$5:$J$45,MATCH(A13,'Matérias-Primas'!$A$5:$A$45,0)),0))</f>
        <v>0</v>
      </c>
      <c r="J13" s="20" t="n">
        <f aca="false">IF(A13="",0,C13*IFERROR(INDEX('Matérias-Primas'!$K$5:$K$45,MATCH(A13,'Matérias-Primas'!$A$5:$A$45,0)),0))</f>
        <v>0</v>
      </c>
      <c r="K13" s="20" t="n">
        <f aca="false">IF(A13="",0,C13*IFERROR(INDEX('Matérias-Primas'!$L$5:$L$45,MATCH(A13,'Matérias-Primas'!$A$5:$A$45,0)),0))</f>
        <v>0</v>
      </c>
      <c r="L13" s="20" t="n">
        <f aca="false">IF(A13="",0,C13*IFERROR(INDEX('Matérias-Primas'!$M$5:$M$45,MATCH(A13,'Matérias-Primas'!$A$5:$A$45,0)),0))</f>
        <v>0</v>
      </c>
      <c r="M13" s="20" t="n">
        <f aca="false">IF(A13="",0,C13*IFERROR(INDEX('Matérias-Primas'!$N$5:$N$45,MATCH(A13,'Matérias-Primas'!$A$5:$A$45,0)),0))</f>
        <v>0</v>
      </c>
      <c r="N13" s="20" t="n">
        <f aca="false">IF(A13="",0,C13*IFERROR(INDEX('Matérias-Primas'!$O$5:$O$45,MATCH(A13,'Matérias-Primas'!$A$5:$A$45,0)),0))</f>
        <v>0</v>
      </c>
      <c r="O13" s="20" t="n">
        <f aca="false">IF(A13="",0,C13*IFERROR(INDEX('Matérias-Primas'!$P$5:$P$45,MATCH(A13,'Matérias-Primas'!$A$5:$A$45,0)),0))</f>
        <v>0</v>
      </c>
      <c r="P13" s="20" t="n">
        <f aca="false">IF(A13="",0,C13*IFERROR(INDEX('Matérias-Primas'!$Q$5:$Q$45,MATCH(A13,'Matérias-Primas'!$A$5:$A$45,0)),0))</f>
        <v>0</v>
      </c>
      <c r="Q13" s="20" t="n">
        <f aca="false">IF(A13="",0,C13*IFERROR(INDEX('Matérias-Primas'!$R$5:$R$45,MATCH(A13,'Matérias-Primas'!$A$5:$A$45,0)),0))</f>
        <v>0</v>
      </c>
    </row>
    <row r="14" customFormat="false" ht="15" hidden="false" customHeight="false" outlineLevel="0" collapsed="false">
      <c r="A14" s="13"/>
      <c r="B14" s="15"/>
      <c r="C14" s="18" t="str">
        <f aca="false">IF(B14="","",B14/SUM($B$5:$B$14))</f>
        <v/>
      </c>
      <c r="D14" s="19" t="str">
        <f aca="false">IF(A14="","",IFERROR(INDEX('Matérias-Primas'!$D$5:$D$45,MATCH(A14,'Matérias-Primas'!$A$5:$A$45,0)),0))</f>
        <v/>
      </c>
      <c r="E14" s="20" t="n">
        <f aca="false">IF(A14="",0,C14*IFERROR(INDEX('Matérias-Primas'!$F$5:$F$45,MATCH(A14,'Matérias-Primas'!$A$5:$A$45,0)),0))</f>
        <v>0</v>
      </c>
      <c r="F14" s="20" t="n">
        <f aca="false">IF(A14="",0,C14*IFERROR(INDEX('Matérias-Primas'!$G$5:$G$45,MATCH(A14,'Matérias-Primas'!$A$5:$A$45,0)),0))</f>
        <v>0</v>
      </c>
      <c r="G14" s="20" t="n">
        <f aca="false">IF(A14="",0,C14*IFERROR(INDEX('Matérias-Primas'!$H$5:$H$45,MATCH(A14,'Matérias-Primas'!$A$5:$A$45,0)),0))</f>
        <v>0</v>
      </c>
      <c r="H14" s="20" t="n">
        <f aca="false">IF(A14="",0,C14*IFERROR(INDEX('Matérias-Primas'!$I$5:$I$45,MATCH(A14,'Matérias-Primas'!$A$5:$A$45,0)),0))</f>
        <v>0</v>
      </c>
      <c r="I14" s="20" t="n">
        <f aca="false">IF(A14="",0,C14*IFERROR(INDEX('Matérias-Primas'!$J$5:$J$45,MATCH(A14,'Matérias-Primas'!$A$5:$A$45,0)),0))</f>
        <v>0</v>
      </c>
      <c r="J14" s="20" t="n">
        <f aca="false">IF(A14="",0,C14*IFERROR(INDEX('Matérias-Primas'!$K$5:$K$45,MATCH(A14,'Matérias-Primas'!$A$5:$A$45,0)),0))</f>
        <v>0</v>
      </c>
      <c r="K14" s="20" t="n">
        <f aca="false">IF(A14="",0,C14*IFERROR(INDEX('Matérias-Primas'!$L$5:$L$45,MATCH(A14,'Matérias-Primas'!$A$5:$A$45,0)),0))</f>
        <v>0</v>
      </c>
      <c r="L14" s="20" t="n">
        <f aca="false">IF(A14="",0,C14*IFERROR(INDEX('Matérias-Primas'!$M$5:$M$45,MATCH(A14,'Matérias-Primas'!$A$5:$A$45,0)),0))</f>
        <v>0</v>
      </c>
      <c r="M14" s="20" t="n">
        <f aca="false">IF(A14="",0,C14*IFERROR(INDEX('Matérias-Primas'!$N$5:$N$45,MATCH(A14,'Matérias-Primas'!$A$5:$A$45,0)),0))</f>
        <v>0</v>
      </c>
      <c r="N14" s="20" t="n">
        <f aca="false">IF(A14="",0,C14*IFERROR(INDEX('Matérias-Primas'!$O$5:$O$45,MATCH(A14,'Matérias-Primas'!$A$5:$A$45,0)),0))</f>
        <v>0</v>
      </c>
      <c r="O14" s="20" t="n">
        <f aca="false">IF(A14="",0,C14*IFERROR(INDEX('Matérias-Primas'!$P$5:$P$45,MATCH(A14,'Matérias-Primas'!$A$5:$A$45,0)),0))</f>
        <v>0</v>
      </c>
      <c r="P14" s="20" t="n">
        <f aca="false">IF(A14="",0,C14*IFERROR(INDEX('Matérias-Primas'!$Q$5:$Q$45,MATCH(A14,'Matérias-Primas'!$A$5:$A$45,0)),0))</f>
        <v>0</v>
      </c>
      <c r="Q14" s="20" t="n">
        <f aca="false">IF(A14="",0,C14*IFERROR(INDEX('Matérias-Primas'!$R$5:$R$45,MATCH(A14,'Matérias-Primas'!$A$5:$A$45,0)),0))</f>
        <v>0</v>
      </c>
    </row>
    <row r="15" customFormat="false" ht="15" hidden="false" customHeight="false" outlineLevel="0" collapsed="false">
      <c r="A15" s="5" t="s">
        <v>106</v>
      </c>
      <c r="B15" s="21" t="n">
        <f aca="false">SUM(B5:B14)</f>
        <v>100</v>
      </c>
      <c r="C15" s="22" t="n">
        <f aca="false">SUM(C5:C14)</f>
        <v>1</v>
      </c>
      <c r="D15" s="2"/>
      <c r="E15" s="23" t="n">
        <f aca="false">SUM(E5:E14)</f>
        <v>53.679</v>
      </c>
      <c r="F15" s="23" t="n">
        <f aca="false">SUM(F5:F14)</f>
        <v>15.425</v>
      </c>
      <c r="G15" s="23" t="n">
        <f aca="false">SUM(G5:G14)</f>
        <v>2.772</v>
      </c>
      <c r="H15" s="23" t="n">
        <f aca="false">SUM(H5:H14)</f>
        <v>2.136</v>
      </c>
      <c r="I15" s="23" t="n">
        <f aca="false">SUM(I5:I14)</f>
        <v>3.3</v>
      </c>
      <c r="J15" s="23" t="n">
        <f aca="false">SUM(J5:J14)</f>
        <v>0</v>
      </c>
      <c r="K15" s="23" t="n">
        <f aca="false">SUM(K5:K14)</f>
        <v>16.458</v>
      </c>
      <c r="L15" s="23" t="n">
        <f aca="false">SUM(L5:L14)</f>
        <v>0</v>
      </c>
      <c r="M15" s="23" t="n">
        <f aca="false">SUM(M5:M14)</f>
        <v>0</v>
      </c>
      <c r="N15" s="23" t="n">
        <f aca="false">SUM(N5:N14)</f>
        <v>0</v>
      </c>
      <c r="O15" s="23" t="n">
        <f aca="false">SUM(O5:O14)</f>
        <v>0</v>
      </c>
      <c r="P15" s="23" t="n">
        <f aca="false">SUM(P5:P14)</f>
        <v>0.055</v>
      </c>
      <c r="Q15" s="23" t="n">
        <f aca="false">SUM(Q5:Q14)</f>
        <v>0</v>
      </c>
    </row>
    <row r="16" customFormat="false" ht="15" hidden="false" customHeight="false" outlineLevel="0" collapsed="false">
      <c r="A16" s="5" t="s">
        <v>107</v>
      </c>
      <c r="B16" s="2"/>
      <c r="C16" s="2"/>
      <c r="D16" s="2"/>
      <c r="E16" s="24" t="n">
        <f aca="false">'Matérias-Primas'!F3</f>
        <v>60.08</v>
      </c>
      <c r="F16" s="24" t="n">
        <f aca="false">'Matérias-Primas'!G3</f>
        <v>101.96</v>
      </c>
      <c r="G16" s="24" t="n">
        <f aca="false">'Matérias-Primas'!H3</f>
        <v>69.62</v>
      </c>
      <c r="H16" s="24" t="n">
        <f aca="false">'Matérias-Primas'!I3</f>
        <v>61.98</v>
      </c>
      <c r="I16" s="24" t="n">
        <f aca="false">'Matérias-Primas'!J3</f>
        <v>94.2</v>
      </c>
      <c r="J16" s="24" t="n">
        <f aca="false">'Matérias-Primas'!K3</f>
        <v>29.88</v>
      </c>
      <c r="K16" s="24" t="n">
        <f aca="false">'Matérias-Primas'!L3</f>
        <v>56.08</v>
      </c>
      <c r="L16" s="24" t="n">
        <f aca="false">'Matérias-Primas'!M3</f>
        <v>40.3</v>
      </c>
      <c r="M16" s="24" t="n">
        <f aca="false">'Matérias-Primas'!N3</f>
        <v>103.62</v>
      </c>
      <c r="N16" s="24" t="n">
        <f aca="false">'Matérias-Primas'!O3</f>
        <v>81.38</v>
      </c>
      <c r="O16" s="24" t="n">
        <f aca="false">'Matérias-Primas'!P3</f>
        <v>123.22</v>
      </c>
      <c r="P16" s="24" t="n">
        <f aca="false">'Matérias-Primas'!Q3</f>
        <v>159.69</v>
      </c>
      <c r="Q16" s="24" t="n">
        <f aca="false">'Matérias-Primas'!R3</f>
        <v>79.87</v>
      </c>
    </row>
    <row r="17" customFormat="false" ht="15" hidden="false" customHeight="false" outlineLevel="0" collapsed="false">
      <c r="A17" s="5" t="s">
        <v>108</v>
      </c>
      <c r="B17" s="2"/>
      <c r="C17" s="3" t="s">
        <v>109</v>
      </c>
      <c r="D17" s="25" t="n">
        <f aca="false">H17+I17+J17+K17+L17+M17+N17</f>
        <v>0.362968186176448</v>
      </c>
      <c r="E17" s="25" t="n">
        <f aca="false">E15/E16</f>
        <v>0.893458721704394</v>
      </c>
      <c r="F17" s="25" t="n">
        <f aca="false">F15/F16</f>
        <v>0.15128481757552</v>
      </c>
      <c r="G17" s="25" t="n">
        <f aca="false">G15/G16</f>
        <v>0.039816144785981</v>
      </c>
      <c r="H17" s="25" t="n">
        <f aca="false">H15/H16</f>
        <v>0.0344627299128751</v>
      </c>
      <c r="I17" s="25" t="n">
        <f aca="false">I15/I16</f>
        <v>0.035031847133758</v>
      </c>
      <c r="J17" s="25" t="n">
        <f aca="false">J15/J16</f>
        <v>0</v>
      </c>
      <c r="K17" s="25" t="n">
        <f aca="false">K15/K16</f>
        <v>0.293473609129815</v>
      </c>
      <c r="L17" s="25" t="n">
        <f aca="false">L15/L16</f>
        <v>0</v>
      </c>
      <c r="M17" s="25" t="n">
        <f aca="false">M15/M16</f>
        <v>0</v>
      </c>
      <c r="N17" s="25" t="n">
        <f aca="false">N15/N16</f>
        <v>0</v>
      </c>
      <c r="O17" s="25" t="n">
        <f aca="false">O15/O16</f>
        <v>0</v>
      </c>
      <c r="P17" s="25" t="n">
        <f aca="false">P15/P16</f>
        <v>0.000344417308535287</v>
      </c>
      <c r="Q17" s="25" t="n">
        <f aca="false">Q15/Q16</f>
        <v>0</v>
      </c>
    </row>
    <row r="18" customFormat="false" ht="15" hidden="false" customHeight="false" outlineLevel="0" collapsed="false">
      <c r="A18" s="5" t="s">
        <v>110</v>
      </c>
      <c r="B18" s="2"/>
      <c r="C18" s="2"/>
      <c r="D18" s="2"/>
      <c r="E18" s="26" t="n">
        <f aca="false">IF($D$17=0,0,E17/$D$17)</f>
        <v>2.46153452487448</v>
      </c>
      <c r="F18" s="26" t="n">
        <f aca="false">IF($D$17=0,0,F17/$D$17)</f>
        <v>0.416799111705004</v>
      </c>
      <c r="G18" s="26" t="n">
        <f aca="false">IF($D$17=0,0,G17/$D$17)</f>
        <v>0.109695963179058</v>
      </c>
      <c r="H18" s="26" t="n">
        <f aca="false">IF($D$17=0,0,H17/$D$17)</f>
        <v>0.0949469711819921</v>
      </c>
      <c r="I18" s="26" t="n">
        <f aca="false">IF($D$17=0,0,I17/$D$17)</f>
        <v>0.0965149246350977</v>
      </c>
      <c r="J18" s="26" t="n">
        <f aca="false">IF($D$17=0,0,J17/$D$17)</f>
        <v>0</v>
      </c>
      <c r="K18" s="26" t="n">
        <f aca="false">IF($D$17=0,0,K17/$D$17)</f>
        <v>0.80853810418291</v>
      </c>
      <c r="L18" s="26" t="n">
        <f aca="false">IF($D$17=0,0,L17/$D$17)</f>
        <v>0</v>
      </c>
      <c r="M18" s="26" t="n">
        <f aca="false">IF($D$17=0,0,M17/$D$17)</f>
        <v>0</v>
      </c>
      <c r="N18" s="26" t="n">
        <f aca="false">IF($D$17=0,0,N17/$D$17)</f>
        <v>0</v>
      </c>
      <c r="O18" s="26" t="n">
        <f aca="false">IF($D$17=0,0,O17/$D$17)</f>
        <v>0</v>
      </c>
      <c r="P18" s="26" t="n">
        <f aca="false">IF($D$17=0,0,P17/$D$17)</f>
        <v>0.000948891174632747</v>
      </c>
      <c r="Q18" s="26" t="n">
        <f aca="false">IF($D$17=0,0,Q17/$D$17)</f>
        <v>0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15" hidden="false" customHeight="false" outlineLevel="0" collapsed="false">
      <c r="A20" s="4" t="s">
        <v>111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customFormat="false" ht="15" hidden="false" customHeight="false" outlineLevel="0" collapsed="false">
      <c r="A21" s="12" t="s">
        <v>112</v>
      </c>
      <c r="B21" s="12" t="s">
        <v>113</v>
      </c>
      <c r="C21" s="12" t="s">
        <v>114</v>
      </c>
      <c r="D21" s="12" t="s">
        <v>115</v>
      </c>
      <c r="E21" s="12" t="s">
        <v>116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customFormat="false" ht="15" hidden="false" customHeight="false" outlineLevel="0" collapsed="false">
      <c r="A22" s="27" t="s">
        <v>117</v>
      </c>
      <c r="B22" s="28" t="n">
        <f aca="false">E18</f>
        <v>2.46153452487448</v>
      </c>
      <c r="C22" s="29" t="n">
        <v>2</v>
      </c>
      <c r="D22" s="29" t="n">
        <v>3</v>
      </c>
      <c r="E22" s="30" t="str">
        <f aca="false">IF(AND(B22&gt;=C22,B22&lt;=D22),"OK","Ajustar")</f>
        <v>OK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customFormat="false" ht="15" hidden="false" customHeight="false" outlineLevel="0" collapsed="false">
      <c r="A23" s="27" t="s">
        <v>118</v>
      </c>
      <c r="B23" s="28" t="n">
        <f aca="false">F18</f>
        <v>0.416799111705004</v>
      </c>
      <c r="C23" s="29" t="n">
        <v>0.35</v>
      </c>
      <c r="D23" s="29" t="n">
        <v>0.5</v>
      </c>
      <c r="E23" s="30" t="str">
        <f aca="false">IF(AND(B23&gt;=C23,B23&lt;=D23),"OK","Ajustar")</f>
        <v>OK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customFormat="false" ht="15" hidden="false" customHeight="false" outlineLevel="0" collapsed="false">
      <c r="A24" s="27" t="s">
        <v>119</v>
      </c>
      <c r="B24" s="28" t="n">
        <f aca="false">G18</f>
        <v>0.109695963179058</v>
      </c>
      <c r="C24" s="29" t="n">
        <v>0.1</v>
      </c>
      <c r="D24" s="29" t="n">
        <v>0.25</v>
      </c>
      <c r="E24" s="30" t="str">
        <f aca="false">IF(AND(B24&gt;=C24,B24&lt;=D24),"OK","Ajustar")</f>
        <v>OK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customFormat="false" ht="15" hidden="false" customHeight="false" outlineLevel="0" collapsed="false">
      <c r="A25" s="27" t="s">
        <v>120</v>
      </c>
      <c r="B25" s="28" t="n">
        <f aca="false">IF(F18=0,0,E18/F18)</f>
        <v>5.90580559254328</v>
      </c>
      <c r="C25" s="29" t="n">
        <v>5</v>
      </c>
      <c r="D25" s="29" t="n">
        <v>7</v>
      </c>
      <c r="E25" s="30" t="str">
        <f aca="false">IF(AND(B25&gt;=C25,B25&lt;=D25),"OK","Ajustar")</f>
        <v>OK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customFormat="false" ht="15" hidden="false" customHeight="false" outlineLevel="0" collapsed="false">
      <c r="A27" s="5" t="s">
        <v>121</v>
      </c>
      <c r="B27" s="31" t="n">
        <f aca="false">SUMPRODUCT(C5:C14,D5:D14)</f>
        <v>5.455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customFormat="false" ht="15" hidden="false" customHeight="false" outlineLevel="0" collapsed="false">
      <c r="A28" s="3" t="s">
        <v>122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</sheetData>
  <conditionalFormatting sqref="E22:E2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"Ajustar"</formula>
    </cfRule>
  </conditionalFormatting>
  <dataValidations count="1">
    <dataValidation allowBlank="true" errorStyle="stop" operator="between" showDropDown="false" showErrorMessage="false" showInputMessage="false" sqref="A5:A14" type="list">
      <formula1>'Matérias-Primas'!$A$5:$A$45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7" min="2" style="0" width="11"/>
  </cols>
  <sheetData>
    <row r="1" customFormat="false" ht="17.35" hidden="false" customHeight="false" outlineLevel="0" collapsed="false">
      <c r="A1" s="1" t="s">
        <v>125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3" t="s">
        <v>90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5.05" hidden="false" customHeight="false" outlineLevel="0" collapsed="false">
      <c r="A4" s="12" t="s">
        <v>34</v>
      </c>
      <c r="B4" s="12" t="s">
        <v>91</v>
      </c>
      <c r="C4" s="12" t="s">
        <v>92</v>
      </c>
      <c r="D4" s="12" t="s">
        <v>37</v>
      </c>
      <c r="E4" s="12" t="s">
        <v>93</v>
      </c>
      <c r="F4" s="12" t="s">
        <v>94</v>
      </c>
      <c r="G4" s="12" t="s">
        <v>95</v>
      </c>
      <c r="H4" s="12" t="s">
        <v>96</v>
      </c>
      <c r="I4" s="12" t="s">
        <v>97</v>
      </c>
      <c r="J4" s="12" t="s">
        <v>98</v>
      </c>
      <c r="K4" s="12" t="s">
        <v>99</v>
      </c>
      <c r="L4" s="12" t="s">
        <v>100</v>
      </c>
      <c r="M4" s="12" t="s">
        <v>101</v>
      </c>
      <c r="N4" s="12" t="s">
        <v>102</v>
      </c>
      <c r="O4" s="12" t="s">
        <v>103</v>
      </c>
      <c r="P4" s="12" t="s">
        <v>104</v>
      </c>
      <c r="Q4" s="12" t="s">
        <v>105</v>
      </c>
    </row>
    <row r="5" customFormat="false" ht="15" hidden="false" customHeight="false" outlineLevel="0" collapsed="false">
      <c r="A5" s="13" t="s">
        <v>53</v>
      </c>
      <c r="B5" s="15" t="n">
        <v>25</v>
      </c>
      <c r="C5" s="18" t="n">
        <f aca="false">IF(B5="","",B5/SUM($B$5:$B$14))</f>
        <v>0.25</v>
      </c>
      <c r="D5" s="19" t="n">
        <f aca="false">IF(A5="","",IFERROR(INDEX('Matérias-Primas'!$D$5:$D$45,MATCH(A5,'Matérias-Primas'!$A$5:$A$45,0)),0))</f>
        <v>3.5</v>
      </c>
      <c r="E5" s="20" t="n">
        <f aca="false">IF(A5="",0,C5*IFERROR(INDEX('Matérias-Primas'!$F$5:$F$45,MATCH(A5,'Matérias-Primas'!$A$5:$A$45,0)),0))</f>
        <v>16.75</v>
      </c>
      <c r="F5" s="20" t="n">
        <f aca="false">IF(A5="",0,C5*IFERROR(INDEX('Matérias-Primas'!$G$5:$G$45,MATCH(A5,'Matérias-Primas'!$A$5:$A$45,0)),0))</f>
        <v>4.625</v>
      </c>
      <c r="G5" s="20" t="n">
        <f aca="false">IF(A5="",0,C5*IFERROR(INDEX('Matérias-Primas'!$H$5:$H$45,MATCH(A5,'Matérias-Primas'!$A$5:$A$45,0)),0))</f>
        <v>0</v>
      </c>
      <c r="H5" s="20" t="n">
        <f aca="false">IF(A5="",0,C5*IFERROR(INDEX('Matérias-Primas'!$I$5:$I$45,MATCH(A5,'Matérias-Primas'!$A$5:$A$45,0)),0))</f>
        <v>0.75</v>
      </c>
      <c r="I5" s="20" t="n">
        <f aca="false">IF(A5="",0,C5*IFERROR(INDEX('Matérias-Primas'!$J$5:$J$45,MATCH(A5,'Matérias-Primas'!$A$5:$A$45,0)),0))</f>
        <v>2.75</v>
      </c>
      <c r="J5" s="20" t="n">
        <f aca="false">IF(A5="",0,C5*IFERROR(INDEX('Matérias-Primas'!$K$5:$K$45,MATCH(A5,'Matérias-Primas'!$A$5:$A$45,0)),0))</f>
        <v>0</v>
      </c>
      <c r="K5" s="20" t="n">
        <f aca="false">IF(A5="",0,C5*IFERROR(INDEX('Matérias-Primas'!$L$5:$L$45,MATCH(A5,'Matérias-Primas'!$A$5:$A$45,0)),0))</f>
        <v>0.05</v>
      </c>
      <c r="L5" s="20" t="n">
        <f aca="false">IF(A5="",0,C5*IFERROR(INDEX('Matérias-Primas'!$M$5:$M$45,MATCH(A5,'Matérias-Primas'!$A$5:$A$45,0)),0))</f>
        <v>0</v>
      </c>
      <c r="M5" s="20" t="n">
        <f aca="false">IF(A5="",0,C5*IFERROR(INDEX('Matérias-Primas'!$N$5:$N$45,MATCH(A5,'Matérias-Primas'!$A$5:$A$45,0)),0))</f>
        <v>0</v>
      </c>
      <c r="N5" s="20" t="n">
        <f aca="false">IF(A5="",0,C5*IFERROR(INDEX('Matérias-Primas'!$O$5:$O$45,MATCH(A5,'Matérias-Primas'!$A$5:$A$45,0)),0))</f>
        <v>0</v>
      </c>
      <c r="O5" s="20" t="n">
        <f aca="false">IF(A5="",0,C5*IFERROR(INDEX('Matérias-Primas'!$P$5:$P$45,MATCH(A5,'Matérias-Primas'!$A$5:$A$45,0)),0))</f>
        <v>0</v>
      </c>
      <c r="P5" s="20" t="n">
        <f aca="false">IF(A5="",0,C5*IFERROR(INDEX('Matérias-Primas'!$Q$5:$Q$45,MATCH(A5,'Matérias-Primas'!$A$5:$A$45,0)),0))</f>
        <v>0.025</v>
      </c>
      <c r="Q5" s="20" t="n">
        <f aca="false">IF(A5="",0,C5*IFERROR(INDEX('Matérias-Primas'!$R$5:$R$45,MATCH(A5,'Matérias-Primas'!$A$5:$A$45,0)),0))</f>
        <v>0</v>
      </c>
    </row>
    <row r="6" customFormat="false" ht="15" hidden="false" customHeight="false" outlineLevel="0" collapsed="false">
      <c r="A6" s="13" t="s">
        <v>66</v>
      </c>
      <c r="B6" s="15" t="n">
        <v>18</v>
      </c>
      <c r="C6" s="18" t="n">
        <f aca="false">IF(B6="","",B6/SUM($B$5:$B$14))</f>
        <v>0.18</v>
      </c>
      <c r="D6" s="19" t="n">
        <f aca="false">IF(A6="","",IFERROR(INDEX('Matérias-Primas'!$D$5:$D$45,MATCH(A6,'Matérias-Primas'!$A$5:$A$45,0)),0))</f>
        <v>15</v>
      </c>
      <c r="E6" s="20" t="n">
        <f aca="false">IF(A6="",0,C6*IFERROR(INDEX('Matérias-Primas'!$F$5:$F$45,MATCH(A6,'Matérias-Primas'!$A$5:$A$45,0)),0))</f>
        <v>8.37</v>
      </c>
      <c r="F6" s="20" t="n">
        <f aca="false">IF(A6="",0,C6*IFERROR(INDEX('Matérias-Primas'!$G$5:$G$45,MATCH(A6,'Matérias-Primas'!$A$5:$A$45,0)),0))</f>
        <v>0</v>
      </c>
      <c r="G6" s="20" t="n">
        <f aca="false">IF(A6="",0,C6*IFERROR(INDEX('Matérias-Primas'!$H$5:$H$45,MATCH(A6,'Matérias-Primas'!$A$5:$A$45,0)),0))</f>
        <v>4.158</v>
      </c>
      <c r="H6" s="20" t="n">
        <f aca="false">IF(A6="",0,C6*IFERROR(INDEX('Matérias-Primas'!$I$5:$I$45,MATCH(A6,'Matérias-Primas'!$A$5:$A$45,0)),0))</f>
        <v>1.854</v>
      </c>
      <c r="I6" s="20" t="n">
        <f aca="false">IF(A6="",0,C6*IFERROR(INDEX('Matérias-Primas'!$J$5:$J$45,MATCH(A6,'Matérias-Primas'!$A$5:$A$45,0)),0))</f>
        <v>0</v>
      </c>
      <c r="J6" s="20" t="n">
        <f aca="false">IF(A6="",0,C6*IFERROR(INDEX('Matérias-Primas'!$K$5:$K$45,MATCH(A6,'Matérias-Primas'!$A$5:$A$45,0)),0))</f>
        <v>0</v>
      </c>
      <c r="K6" s="20" t="n">
        <f aca="false">IF(A6="",0,C6*IFERROR(INDEX('Matérias-Primas'!$L$5:$L$45,MATCH(A6,'Matérias-Primas'!$A$5:$A$45,0)),0))</f>
        <v>3.618</v>
      </c>
      <c r="L6" s="20" t="n">
        <f aca="false">IF(A6="",0,C6*IFERROR(INDEX('Matérias-Primas'!$M$5:$M$45,MATCH(A6,'Matérias-Primas'!$A$5:$A$45,0)),0))</f>
        <v>0</v>
      </c>
      <c r="M6" s="20" t="n">
        <f aca="false">IF(A6="",0,C6*IFERROR(INDEX('Matérias-Primas'!$N$5:$N$45,MATCH(A6,'Matérias-Primas'!$A$5:$A$45,0)),0))</f>
        <v>0</v>
      </c>
      <c r="N6" s="20" t="n">
        <f aca="false">IF(A6="",0,C6*IFERROR(INDEX('Matérias-Primas'!$O$5:$O$45,MATCH(A6,'Matérias-Primas'!$A$5:$A$45,0)),0))</f>
        <v>0</v>
      </c>
      <c r="O6" s="20" t="n">
        <f aca="false">IF(A6="",0,C6*IFERROR(INDEX('Matérias-Primas'!$P$5:$P$45,MATCH(A6,'Matérias-Primas'!$A$5:$A$45,0)),0))</f>
        <v>0</v>
      </c>
      <c r="P6" s="20" t="n">
        <f aca="false">IF(A6="",0,C6*IFERROR(INDEX('Matérias-Primas'!$Q$5:$Q$45,MATCH(A6,'Matérias-Primas'!$A$5:$A$45,0)),0))</f>
        <v>0</v>
      </c>
      <c r="Q6" s="20" t="n">
        <f aca="false">IF(A6="",0,C6*IFERROR(INDEX('Matérias-Primas'!$R$5:$R$45,MATCH(A6,'Matérias-Primas'!$A$5:$A$45,0)),0))</f>
        <v>0</v>
      </c>
    </row>
    <row r="7" customFormat="false" ht="15" hidden="false" customHeight="false" outlineLevel="0" collapsed="false">
      <c r="A7" s="13" t="s">
        <v>64</v>
      </c>
      <c r="B7" s="15" t="n">
        <v>10</v>
      </c>
      <c r="C7" s="18" t="n">
        <f aca="false">IF(B7="","",B7/SUM($B$5:$B$14))</f>
        <v>0.1</v>
      </c>
      <c r="D7" s="19" t="n">
        <f aca="false">IF(A7="","",IFERROR(INDEX('Matérias-Primas'!$D$5:$D$45,MATCH(A7,'Matérias-Primas'!$A$5:$A$45,0)),0))</f>
        <v>35</v>
      </c>
      <c r="E7" s="20" t="n">
        <f aca="false">IF(A7="",0,C7*IFERROR(INDEX('Matérias-Primas'!$F$5:$F$45,MATCH(A7,'Matérias-Primas'!$A$5:$A$45,0)),0))</f>
        <v>0</v>
      </c>
      <c r="F7" s="20" t="n">
        <f aca="false">IF(A7="",0,C7*IFERROR(INDEX('Matérias-Primas'!$G$5:$G$45,MATCH(A7,'Matérias-Primas'!$A$5:$A$45,0)),0))</f>
        <v>0</v>
      </c>
      <c r="G7" s="20" t="n">
        <f aca="false">IF(A7="",0,C7*IFERROR(INDEX('Matérias-Primas'!$H$5:$H$45,MATCH(A7,'Matérias-Primas'!$A$5:$A$45,0)),0))</f>
        <v>0</v>
      </c>
      <c r="H7" s="20" t="n">
        <f aca="false">IF(A7="",0,C7*IFERROR(INDEX('Matérias-Primas'!$I$5:$I$45,MATCH(A7,'Matérias-Primas'!$A$5:$A$45,0)),0))</f>
        <v>0</v>
      </c>
      <c r="I7" s="20" t="n">
        <f aca="false">IF(A7="",0,C7*IFERROR(INDEX('Matérias-Primas'!$J$5:$J$45,MATCH(A7,'Matérias-Primas'!$A$5:$A$45,0)),0))</f>
        <v>0</v>
      </c>
      <c r="J7" s="20" t="n">
        <f aca="false">IF(A7="",0,C7*IFERROR(INDEX('Matérias-Primas'!$K$5:$K$45,MATCH(A7,'Matérias-Primas'!$A$5:$A$45,0)),0))</f>
        <v>0</v>
      </c>
      <c r="K7" s="20" t="n">
        <f aca="false">IF(A7="",0,C7*IFERROR(INDEX('Matérias-Primas'!$L$5:$L$45,MATCH(A7,'Matérias-Primas'!$A$5:$A$45,0)),0))</f>
        <v>0</v>
      </c>
      <c r="L7" s="20" t="n">
        <f aca="false">IF(A7="",0,C7*IFERROR(INDEX('Matérias-Primas'!$M$5:$M$45,MATCH(A7,'Matérias-Primas'!$A$5:$A$45,0)),0))</f>
        <v>0</v>
      </c>
      <c r="M7" s="20" t="n">
        <f aca="false">IF(A7="",0,C7*IFERROR(INDEX('Matérias-Primas'!$N$5:$N$45,MATCH(A7,'Matérias-Primas'!$A$5:$A$45,0)),0))</f>
        <v>7.02</v>
      </c>
      <c r="N7" s="20" t="n">
        <f aca="false">IF(A7="",0,C7*IFERROR(INDEX('Matérias-Primas'!$O$5:$O$45,MATCH(A7,'Matérias-Primas'!$A$5:$A$45,0)),0))</f>
        <v>0</v>
      </c>
      <c r="O7" s="20" t="n">
        <f aca="false">IF(A7="",0,C7*IFERROR(INDEX('Matérias-Primas'!$P$5:$P$45,MATCH(A7,'Matérias-Primas'!$A$5:$A$45,0)),0))</f>
        <v>0</v>
      </c>
      <c r="P7" s="20" t="n">
        <f aca="false">IF(A7="",0,C7*IFERROR(INDEX('Matérias-Primas'!$Q$5:$Q$45,MATCH(A7,'Matérias-Primas'!$A$5:$A$45,0)),0))</f>
        <v>0</v>
      </c>
      <c r="Q7" s="20" t="n">
        <f aca="false">IF(A7="",0,C7*IFERROR(INDEX('Matérias-Primas'!$R$5:$R$45,MATCH(A7,'Matérias-Primas'!$A$5:$A$45,0)),0))</f>
        <v>0</v>
      </c>
    </row>
    <row r="8" customFormat="false" ht="15" hidden="false" customHeight="false" outlineLevel="0" collapsed="false">
      <c r="A8" s="13" t="s">
        <v>60</v>
      </c>
      <c r="B8" s="15" t="n">
        <v>10</v>
      </c>
      <c r="C8" s="18" t="n">
        <f aca="false">IF(B8="","",B8/SUM($B$5:$B$14))</f>
        <v>0.1</v>
      </c>
      <c r="D8" s="19" t="n">
        <f aca="false">IF(A8="","",IFERROR(INDEX('Matérias-Primas'!$D$5:$D$45,MATCH(A8,'Matérias-Primas'!$A$5:$A$45,0)),0))</f>
        <v>8</v>
      </c>
      <c r="E8" s="20" t="n">
        <f aca="false">IF(A8="",0,C8*IFERROR(INDEX('Matérias-Primas'!$F$5:$F$45,MATCH(A8,'Matérias-Primas'!$A$5:$A$45,0)),0))</f>
        <v>5.17</v>
      </c>
      <c r="F8" s="20" t="n">
        <f aca="false">IF(A8="",0,C8*IFERROR(INDEX('Matérias-Primas'!$G$5:$G$45,MATCH(A8,'Matérias-Primas'!$A$5:$A$45,0)),0))</f>
        <v>0</v>
      </c>
      <c r="G8" s="20" t="n">
        <f aca="false">IF(A8="",0,C8*IFERROR(INDEX('Matérias-Primas'!$H$5:$H$45,MATCH(A8,'Matérias-Primas'!$A$5:$A$45,0)),0))</f>
        <v>0</v>
      </c>
      <c r="H8" s="20" t="n">
        <f aca="false">IF(A8="",0,C8*IFERROR(INDEX('Matérias-Primas'!$I$5:$I$45,MATCH(A8,'Matérias-Primas'!$A$5:$A$45,0)),0))</f>
        <v>0</v>
      </c>
      <c r="I8" s="20" t="n">
        <f aca="false">IF(A8="",0,C8*IFERROR(INDEX('Matérias-Primas'!$J$5:$J$45,MATCH(A8,'Matérias-Primas'!$A$5:$A$45,0)),0))</f>
        <v>0</v>
      </c>
      <c r="J8" s="20" t="n">
        <f aca="false">IF(A8="",0,C8*IFERROR(INDEX('Matérias-Primas'!$K$5:$K$45,MATCH(A8,'Matérias-Primas'!$A$5:$A$45,0)),0))</f>
        <v>0</v>
      </c>
      <c r="K8" s="20" t="n">
        <f aca="false">IF(A8="",0,C8*IFERROR(INDEX('Matérias-Primas'!$L$5:$L$45,MATCH(A8,'Matérias-Primas'!$A$5:$A$45,0)),0))</f>
        <v>4.83</v>
      </c>
      <c r="L8" s="20" t="n">
        <f aca="false">IF(A8="",0,C8*IFERROR(INDEX('Matérias-Primas'!$M$5:$M$45,MATCH(A8,'Matérias-Primas'!$A$5:$A$45,0)),0))</f>
        <v>0</v>
      </c>
      <c r="M8" s="20" t="n">
        <f aca="false">IF(A8="",0,C8*IFERROR(INDEX('Matérias-Primas'!$N$5:$N$45,MATCH(A8,'Matérias-Primas'!$A$5:$A$45,0)),0))</f>
        <v>0</v>
      </c>
      <c r="N8" s="20" t="n">
        <f aca="false">IF(A8="",0,C8*IFERROR(INDEX('Matérias-Primas'!$O$5:$O$45,MATCH(A8,'Matérias-Primas'!$A$5:$A$45,0)),0))</f>
        <v>0</v>
      </c>
      <c r="O8" s="20" t="n">
        <f aca="false">IF(A8="",0,C8*IFERROR(INDEX('Matérias-Primas'!$P$5:$P$45,MATCH(A8,'Matérias-Primas'!$A$5:$A$45,0)),0))</f>
        <v>0</v>
      </c>
      <c r="P8" s="20" t="n">
        <f aca="false">IF(A8="",0,C8*IFERROR(INDEX('Matérias-Primas'!$Q$5:$Q$45,MATCH(A8,'Matérias-Primas'!$A$5:$A$45,0)),0))</f>
        <v>0</v>
      </c>
      <c r="Q8" s="20" t="n">
        <f aca="false">IF(A8="",0,C8*IFERROR(INDEX('Matérias-Primas'!$R$5:$R$45,MATCH(A8,'Matérias-Primas'!$A$5:$A$45,0)),0))</f>
        <v>0</v>
      </c>
    </row>
    <row r="9" customFormat="false" ht="15" hidden="false" customHeight="false" outlineLevel="0" collapsed="false">
      <c r="A9" s="13" t="s">
        <v>56</v>
      </c>
      <c r="B9" s="15" t="n">
        <v>15</v>
      </c>
      <c r="C9" s="18" t="n">
        <f aca="false">IF(B9="","",B9/SUM($B$5:$B$14))</f>
        <v>0.15</v>
      </c>
      <c r="D9" s="19" t="n">
        <f aca="false">IF(A9="","",IFERROR(INDEX('Matérias-Primas'!$D$5:$D$45,MATCH(A9,'Matérias-Primas'!$A$5:$A$45,0)),0))</f>
        <v>2.5</v>
      </c>
      <c r="E9" s="20" t="n">
        <f aca="false">IF(A9="",0,C9*IFERROR(INDEX('Matérias-Primas'!$F$5:$F$45,MATCH(A9,'Matérias-Primas'!$A$5:$A$45,0)),0))</f>
        <v>6.975</v>
      </c>
      <c r="F9" s="20" t="n">
        <f aca="false">IF(A9="",0,C9*IFERROR(INDEX('Matérias-Primas'!$G$5:$G$45,MATCH(A9,'Matérias-Primas'!$A$5:$A$45,0)),0))</f>
        <v>5.925</v>
      </c>
      <c r="G9" s="20" t="n">
        <f aca="false">IF(A9="",0,C9*IFERROR(INDEX('Matérias-Primas'!$H$5:$H$45,MATCH(A9,'Matérias-Primas'!$A$5:$A$45,0)),0))</f>
        <v>0</v>
      </c>
      <c r="H9" s="20" t="n">
        <f aca="false">IF(A9="",0,C9*IFERROR(INDEX('Matérias-Primas'!$I$5:$I$45,MATCH(A9,'Matérias-Primas'!$A$5:$A$45,0)),0))</f>
        <v>0</v>
      </c>
      <c r="I9" s="20" t="n">
        <f aca="false">IF(A9="",0,C9*IFERROR(INDEX('Matérias-Primas'!$J$5:$J$45,MATCH(A9,'Matérias-Primas'!$A$5:$A$45,0)),0))</f>
        <v>0</v>
      </c>
      <c r="J9" s="20" t="n">
        <f aca="false">IF(A9="",0,C9*IFERROR(INDEX('Matérias-Primas'!$K$5:$K$45,MATCH(A9,'Matérias-Primas'!$A$5:$A$45,0)),0))</f>
        <v>0</v>
      </c>
      <c r="K9" s="20" t="n">
        <f aca="false">IF(A9="",0,C9*IFERROR(INDEX('Matérias-Primas'!$L$5:$L$45,MATCH(A9,'Matérias-Primas'!$A$5:$A$45,0)),0))</f>
        <v>0</v>
      </c>
      <c r="L9" s="20" t="n">
        <f aca="false">IF(A9="",0,C9*IFERROR(INDEX('Matérias-Primas'!$M$5:$M$45,MATCH(A9,'Matérias-Primas'!$A$5:$A$45,0)),0))</f>
        <v>0</v>
      </c>
      <c r="M9" s="20" t="n">
        <f aca="false">IF(A9="",0,C9*IFERROR(INDEX('Matérias-Primas'!$N$5:$N$45,MATCH(A9,'Matérias-Primas'!$A$5:$A$45,0)),0))</f>
        <v>0</v>
      </c>
      <c r="N9" s="20" t="n">
        <f aca="false">IF(A9="",0,C9*IFERROR(INDEX('Matérias-Primas'!$O$5:$O$45,MATCH(A9,'Matérias-Primas'!$A$5:$A$45,0)),0))</f>
        <v>0</v>
      </c>
      <c r="O9" s="20" t="n">
        <f aca="false">IF(A9="",0,C9*IFERROR(INDEX('Matérias-Primas'!$P$5:$P$45,MATCH(A9,'Matérias-Primas'!$A$5:$A$45,0)),0))</f>
        <v>0</v>
      </c>
      <c r="P9" s="20" t="n">
        <f aca="false">IF(A9="",0,C9*IFERROR(INDEX('Matérias-Primas'!$Q$5:$Q$45,MATCH(A9,'Matérias-Primas'!$A$5:$A$45,0)),0))</f>
        <v>0.015</v>
      </c>
      <c r="Q9" s="20" t="n">
        <f aca="false">IF(A9="",0,C9*IFERROR(INDEX('Matérias-Primas'!$R$5:$R$45,MATCH(A9,'Matérias-Primas'!$A$5:$A$45,0)),0))</f>
        <v>0</v>
      </c>
    </row>
    <row r="10" customFormat="false" ht="15" hidden="false" customHeight="false" outlineLevel="0" collapsed="false">
      <c r="A10" s="13" t="s">
        <v>58</v>
      </c>
      <c r="B10" s="15" t="n">
        <v>22</v>
      </c>
      <c r="C10" s="18" t="n">
        <f aca="false">IF(B10="","",B10/SUM($B$5:$B$14))</f>
        <v>0.22</v>
      </c>
      <c r="D10" s="19" t="n">
        <f aca="false">IF(A10="","",IFERROR(INDEX('Matérias-Primas'!$D$5:$D$45,MATCH(A10,'Matérias-Primas'!$A$5:$A$45,0)),0))</f>
        <v>2</v>
      </c>
      <c r="E10" s="20" t="n">
        <f aca="false">IF(A10="",0,C10*IFERROR(INDEX('Matérias-Primas'!$F$5:$F$45,MATCH(A10,'Matérias-Primas'!$A$5:$A$45,0)),0))</f>
        <v>22</v>
      </c>
      <c r="F10" s="20" t="n">
        <f aca="false">IF(A10="",0,C10*IFERROR(INDEX('Matérias-Primas'!$G$5:$G$45,MATCH(A10,'Matérias-Primas'!$A$5:$A$45,0)),0))</f>
        <v>0</v>
      </c>
      <c r="G10" s="20" t="n">
        <f aca="false">IF(A10="",0,C10*IFERROR(INDEX('Matérias-Primas'!$H$5:$H$45,MATCH(A10,'Matérias-Primas'!$A$5:$A$45,0)),0))</f>
        <v>0</v>
      </c>
      <c r="H10" s="20" t="n">
        <f aca="false">IF(A10="",0,C10*IFERROR(INDEX('Matérias-Primas'!$I$5:$I$45,MATCH(A10,'Matérias-Primas'!$A$5:$A$45,0)),0))</f>
        <v>0</v>
      </c>
      <c r="I10" s="20" t="n">
        <f aca="false">IF(A10="",0,C10*IFERROR(INDEX('Matérias-Primas'!$J$5:$J$45,MATCH(A10,'Matérias-Primas'!$A$5:$A$45,0)),0))</f>
        <v>0</v>
      </c>
      <c r="J10" s="20" t="n">
        <f aca="false">IF(A10="",0,C10*IFERROR(INDEX('Matérias-Primas'!$K$5:$K$45,MATCH(A10,'Matérias-Primas'!$A$5:$A$45,0)),0))</f>
        <v>0</v>
      </c>
      <c r="K10" s="20" t="n">
        <f aca="false">IF(A10="",0,C10*IFERROR(INDEX('Matérias-Primas'!$L$5:$L$45,MATCH(A10,'Matérias-Primas'!$A$5:$A$45,0)),0))</f>
        <v>0</v>
      </c>
      <c r="L10" s="20" t="n">
        <f aca="false">IF(A10="",0,C10*IFERROR(INDEX('Matérias-Primas'!$M$5:$M$45,MATCH(A10,'Matérias-Primas'!$A$5:$A$45,0)),0))</f>
        <v>0</v>
      </c>
      <c r="M10" s="20" t="n">
        <f aca="false">IF(A10="",0,C10*IFERROR(INDEX('Matérias-Primas'!$N$5:$N$45,MATCH(A10,'Matérias-Primas'!$A$5:$A$45,0)),0))</f>
        <v>0</v>
      </c>
      <c r="N10" s="20" t="n">
        <f aca="false">IF(A10="",0,C10*IFERROR(INDEX('Matérias-Primas'!$O$5:$O$45,MATCH(A10,'Matérias-Primas'!$A$5:$A$45,0)),0))</f>
        <v>0</v>
      </c>
      <c r="O10" s="20" t="n">
        <f aca="false">IF(A10="",0,C10*IFERROR(INDEX('Matérias-Primas'!$P$5:$P$45,MATCH(A10,'Matérias-Primas'!$A$5:$A$45,0)),0))</f>
        <v>0</v>
      </c>
      <c r="P10" s="20" t="n">
        <f aca="false">IF(A10="",0,C10*IFERROR(INDEX('Matérias-Primas'!$Q$5:$Q$45,MATCH(A10,'Matérias-Primas'!$A$5:$A$45,0)),0))</f>
        <v>0</v>
      </c>
      <c r="Q10" s="20" t="n">
        <f aca="false">IF(A10="",0,C10*IFERROR(INDEX('Matérias-Primas'!$R$5:$R$45,MATCH(A10,'Matérias-Primas'!$A$5:$A$45,0)),0))</f>
        <v>0</v>
      </c>
    </row>
    <row r="11" customFormat="false" ht="15" hidden="false" customHeight="false" outlineLevel="0" collapsed="false">
      <c r="A11" s="13"/>
      <c r="B11" s="15"/>
      <c r="C11" s="18" t="str">
        <f aca="false">IF(B11="","",B11/SUM($B$5:$B$14))</f>
        <v/>
      </c>
      <c r="D11" s="19" t="str">
        <f aca="false">IF(A11="","",IFERROR(INDEX('Matérias-Primas'!$D$5:$D$45,MATCH(A11,'Matérias-Primas'!$A$5:$A$45,0)),0))</f>
        <v/>
      </c>
      <c r="E11" s="20" t="n">
        <f aca="false">IF(A11="",0,C11*IFERROR(INDEX('Matérias-Primas'!$F$5:$F$45,MATCH(A11,'Matérias-Primas'!$A$5:$A$45,0)),0))</f>
        <v>0</v>
      </c>
      <c r="F11" s="20" t="n">
        <f aca="false">IF(A11="",0,C11*IFERROR(INDEX('Matérias-Primas'!$G$5:$G$45,MATCH(A11,'Matérias-Primas'!$A$5:$A$45,0)),0))</f>
        <v>0</v>
      </c>
      <c r="G11" s="20" t="n">
        <f aca="false">IF(A11="",0,C11*IFERROR(INDEX('Matérias-Primas'!$H$5:$H$45,MATCH(A11,'Matérias-Primas'!$A$5:$A$45,0)),0))</f>
        <v>0</v>
      </c>
      <c r="H11" s="20" t="n">
        <f aca="false">IF(A11="",0,C11*IFERROR(INDEX('Matérias-Primas'!$I$5:$I$45,MATCH(A11,'Matérias-Primas'!$A$5:$A$45,0)),0))</f>
        <v>0</v>
      </c>
      <c r="I11" s="20" t="n">
        <f aca="false">IF(A11="",0,C11*IFERROR(INDEX('Matérias-Primas'!$J$5:$J$45,MATCH(A11,'Matérias-Primas'!$A$5:$A$45,0)),0))</f>
        <v>0</v>
      </c>
      <c r="J11" s="20" t="n">
        <f aca="false">IF(A11="",0,C11*IFERROR(INDEX('Matérias-Primas'!$K$5:$K$45,MATCH(A11,'Matérias-Primas'!$A$5:$A$45,0)),0))</f>
        <v>0</v>
      </c>
      <c r="K11" s="20" t="n">
        <f aca="false">IF(A11="",0,C11*IFERROR(INDEX('Matérias-Primas'!$L$5:$L$45,MATCH(A11,'Matérias-Primas'!$A$5:$A$45,0)),0))</f>
        <v>0</v>
      </c>
      <c r="L11" s="20" t="n">
        <f aca="false">IF(A11="",0,C11*IFERROR(INDEX('Matérias-Primas'!$M$5:$M$45,MATCH(A11,'Matérias-Primas'!$A$5:$A$45,0)),0))</f>
        <v>0</v>
      </c>
      <c r="M11" s="20" t="n">
        <f aca="false">IF(A11="",0,C11*IFERROR(INDEX('Matérias-Primas'!$N$5:$N$45,MATCH(A11,'Matérias-Primas'!$A$5:$A$45,0)),0))</f>
        <v>0</v>
      </c>
      <c r="N11" s="20" t="n">
        <f aca="false">IF(A11="",0,C11*IFERROR(INDEX('Matérias-Primas'!$O$5:$O$45,MATCH(A11,'Matérias-Primas'!$A$5:$A$45,0)),0))</f>
        <v>0</v>
      </c>
      <c r="O11" s="20" t="n">
        <f aca="false">IF(A11="",0,C11*IFERROR(INDEX('Matérias-Primas'!$P$5:$P$45,MATCH(A11,'Matérias-Primas'!$A$5:$A$45,0)),0))</f>
        <v>0</v>
      </c>
      <c r="P11" s="20" t="n">
        <f aca="false">IF(A11="",0,C11*IFERROR(INDEX('Matérias-Primas'!$Q$5:$Q$45,MATCH(A11,'Matérias-Primas'!$A$5:$A$45,0)),0))</f>
        <v>0</v>
      </c>
      <c r="Q11" s="20" t="n">
        <f aca="false">IF(A11="",0,C11*IFERROR(INDEX('Matérias-Primas'!$R$5:$R$45,MATCH(A11,'Matérias-Primas'!$A$5:$A$45,0)),0))</f>
        <v>0</v>
      </c>
    </row>
    <row r="12" customFormat="false" ht="15" hidden="false" customHeight="false" outlineLevel="0" collapsed="false">
      <c r="A12" s="13"/>
      <c r="B12" s="15"/>
      <c r="C12" s="18" t="str">
        <f aca="false">IF(B12="","",B12/SUM($B$5:$B$14))</f>
        <v/>
      </c>
      <c r="D12" s="19" t="str">
        <f aca="false">IF(A12="","",IFERROR(INDEX('Matérias-Primas'!$D$5:$D$45,MATCH(A12,'Matérias-Primas'!$A$5:$A$45,0)),0))</f>
        <v/>
      </c>
      <c r="E12" s="20" t="n">
        <f aca="false">IF(A12="",0,C12*IFERROR(INDEX('Matérias-Primas'!$F$5:$F$45,MATCH(A12,'Matérias-Primas'!$A$5:$A$45,0)),0))</f>
        <v>0</v>
      </c>
      <c r="F12" s="20" t="n">
        <f aca="false">IF(A12="",0,C12*IFERROR(INDEX('Matérias-Primas'!$G$5:$G$45,MATCH(A12,'Matérias-Primas'!$A$5:$A$45,0)),0))</f>
        <v>0</v>
      </c>
      <c r="G12" s="20" t="n">
        <f aca="false">IF(A12="",0,C12*IFERROR(INDEX('Matérias-Primas'!$H$5:$H$45,MATCH(A12,'Matérias-Primas'!$A$5:$A$45,0)),0))</f>
        <v>0</v>
      </c>
      <c r="H12" s="20" t="n">
        <f aca="false">IF(A12="",0,C12*IFERROR(INDEX('Matérias-Primas'!$I$5:$I$45,MATCH(A12,'Matérias-Primas'!$A$5:$A$45,0)),0))</f>
        <v>0</v>
      </c>
      <c r="I12" s="20" t="n">
        <f aca="false">IF(A12="",0,C12*IFERROR(INDEX('Matérias-Primas'!$J$5:$J$45,MATCH(A12,'Matérias-Primas'!$A$5:$A$45,0)),0))</f>
        <v>0</v>
      </c>
      <c r="J12" s="20" t="n">
        <f aca="false">IF(A12="",0,C12*IFERROR(INDEX('Matérias-Primas'!$K$5:$K$45,MATCH(A12,'Matérias-Primas'!$A$5:$A$45,0)),0))</f>
        <v>0</v>
      </c>
      <c r="K12" s="20" t="n">
        <f aca="false">IF(A12="",0,C12*IFERROR(INDEX('Matérias-Primas'!$L$5:$L$45,MATCH(A12,'Matérias-Primas'!$A$5:$A$45,0)),0))</f>
        <v>0</v>
      </c>
      <c r="L12" s="20" t="n">
        <f aca="false">IF(A12="",0,C12*IFERROR(INDEX('Matérias-Primas'!$M$5:$M$45,MATCH(A12,'Matérias-Primas'!$A$5:$A$45,0)),0))</f>
        <v>0</v>
      </c>
      <c r="M12" s="20" t="n">
        <f aca="false">IF(A12="",0,C12*IFERROR(INDEX('Matérias-Primas'!$N$5:$N$45,MATCH(A12,'Matérias-Primas'!$A$5:$A$45,0)),0))</f>
        <v>0</v>
      </c>
      <c r="N12" s="20" t="n">
        <f aca="false">IF(A12="",0,C12*IFERROR(INDEX('Matérias-Primas'!$O$5:$O$45,MATCH(A12,'Matérias-Primas'!$A$5:$A$45,0)),0))</f>
        <v>0</v>
      </c>
      <c r="O12" s="20" t="n">
        <f aca="false">IF(A12="",0,C12*IFERROR(INDEX('Matérias-Primas'!$P$5:$P$45,MATCH(A12,'Matérias-Primas'!$A$5:$A$45,0)),0))</f>
        <v>0</v>
      </c>
      <c r="P12" s="20" t="n">
        <f aca="false">IF(A12="",0,C12*IFERROR(INDEX('Matérias-Primas'!$Q$5:$Q$45,MATCH(A12,'Matérias-Primas'!$A$5:$A$45,0)),0))</f>
        <v>0</v>
      </c>
      <c r="Q12" s="20" t="n">
        <f aca="false">IF(A12="",0,C12*IFERROR(INDEX('Matérias-Primas'!$R$5:$R$45,MATCH(A12,'Matérias-Primas'!$A$5:$A$45,0)),0))</f>
        <v>0</v>
      </c>
    </row>
    <row r="13" customFormat="false" ht="15" hidden="false" customHeight="false" outlineLevel="0" collapsed="false">
      <c r="A13" s="13"/>
      <c r="B13" s="15"/>
      <c r="C13" s="18" t="str">
        <f aca="false">IF(B13="","",B13/SUM($B$5:$B$14))</f>
        <v/>
      </c>
      <c r="D13" s="19" t="str">
        <f aca="false">IF(A13="","",IFERROR(INDEX('Matérias-Primas'!$D$5:$D$45,MATCH(A13,'Matérias-Primas'!$A$5:$A$45,0)),0))</f>
        <v/>
      </c>
      <c r="E13" s="20" t="n">
        <f aca="false">IF(A13="",0,C13*IFERROR(INDEX('Matérias-Primas'!$F$5:$F$45,MATCH(A13,'Matérias-Primas'!$A$5:$A$45,0)),0))</f>
        <v>0</v>
      </c>
      <c r="F13" s="20" t="n">
        <f aca="false">IF(A13="",0,C13*IFERROR(INDEX('Matérias-Primas'!$G$5:$G$45,MATCH(A13,'Matérias-Primas'!$A$5:$A$45,0)),0))</f>
        <v>0</v>
      </c>
      <c r="G13" s="20" t="n">
        <f aca="false">IF(A13="",0,C13*IFERROR(INDEX('Matérias-Primas'!$H$5:$H$45,MATCH(A13,'Matérias-Primas'!$A$5:$A$45,0)),0))</f>
        <v>0</v>
      </c>
      <c r="H13" s="20" t="n">
        <f aca="false">IF(A13="",0,C13*IFERROR(INDEX('Matérias-Primas'!$I$5:$I$45,MATCH(A13,'Matérias-Primas'!$A$5:$A$45,0)),0))</f>
        <v>0</v>
      </c>
      <c r="I13" s="20" t="n">
        <f aca="false">IF(A13="",0,C13*IFERROR(INDEX('Matérias-Primas'!$J$5:$J$45,MATCH(A13,'Matérias-Primas'!$A$5:$A$45,0)),0))</f>
        <v>0</v>
      </c>
      <c r="J13" s="20" t="n">
        <f aca="false">IF(A13="",0,C13*IFERROR(INDEX('Matérias-Primas'!$K$5:$K$45,MATCH(A13,'Matérias-Primas'!$A$5:$A$45,0)),0))</f>
        <v>0</v>
      </c>
      <c r="K13" s="20" t="n">
        <f aca="false">IF(A13="",0,C13*IFERROR(INDEX('Matérias-Primas'!$L$5:$L$45,MATCH(A13,'Matérias-Primas'!$A$5:$A$45,0)),0))</f>
        <v>0</v>
      </c>
      <c r="L13" s="20" t="n">
        <f aca="false">IF(A13="",0,C13*IFERROR(INDEX('Matérias-Primas'!$M$5:$M$45,MATCH(A13,'Matérias-Primas'!$A$5:$A$45,0)),0))</f>
        <v>0</v>
      </c>
      <c r="M13" s="20" t="n">
        <f aca="false">IF(A13="",0,C13*IFERROR(INDEX('Matérias-Primas'!$N$5:$N$45,MATCH(A13,'Matérias-Primas'!$A$5:$A$45,0)),0))</f>
        <v>0</v>
      </c>
      <c r="N13" s="20" t="n">
        <f aca="false">IF(A13="",0,C13*IFERROR(INDEX('Matérias-Primas'!$O$5:$O$45,MATCH(A13,'Matérias-Primas'!$A$5:$A$45,0)),0))</f>
        <v>0</v>
      </c>
      <c r="O13" s="20" t="n">
        <f aca="false">IF(A13="",0,C13*IFERROR(INDEX('Matérias-Primas'!$P$5:$P$45,MATCH(A13,'Matérias-Primas'!$A$5:$A$45,0)),0))</f>
        <v>0</v>
      </c>
      <c r="P13" s="20" t="n">
        <f aca="false">IF(A13="",0,C13*IFERROR(INDEX('Matérias-Primas'!$Q$5:$Q$45,MATCH(A13,'Matérias-Primas'!$A$5:$A$45,0)),0))</f>
        <v>0</v>
      </c>
      <c r="Q13" s="20" t="n">
        <f aca="false">IF(A13="",0,C13*IFERROR(INDEX('Matérias-Primas'!$R$5:$R$45,MATCH(A13,'Matérias-Primas'!$A$5:$A$45,0)),0))</f>
        <v>0</v>
      </c>
    </row>
    <row r="14" customFormat="false" ht="15" hidden="false" customHeight="false" outlineLevel="0" collapsed="false">
      <c r="A14" s="13"/>
      <c r="B14" s="15"/>
      <c r="C14" s="18" t="str">
        <f aca="false">IF(B14="","",B14/SUM($B$5:$B$14))</f>
        <v/>
      </c>
      <c r="D14" s="19" t="str">
        <f aca="false">IF(A14="","",IFERROR(INDEX('Matérias-Primas'!$D$5:$D$45,MATCH(A14,'Matérias-Primas'!$A$5:$A$45,0)),0))</f>
        <v/>
      </c>
      <c r="E14" s="20" t="n">
        <f aca="false">IF(A14="",0,C14*IFERROR(INDEX('Matérias-Primas'!$F$5:$F$45,MATCH(A14,'Matérias-Primas'!$A$5:$A$45,0)),0))</f>
        <v>0</v>
      </c>
      <c r="F14" s="20" t="n">
        <f aca="false">IF(A14="",0,C14*IFERROR(INDEX('Matérias-Primas'!$G$5:$G$45,MATCH(A14,'Matérias-Primas'!$A$5:$A$45,0)),0))</f>
        <v>0</v>
      </c>
      <c r="G14" s="20" t="n">
        <f aca="false">IF(A14="",0,C14*IFERROR(INDEX('Matérias-Primas'!$H$5:$H$45,MATCH(A14,'Matérias-Primas'!$A$5:$A$45,0)),0))</f>
        <v>0</v>
      </c>
      <c r="H14" s="20" t="n">
        <f aca="false">IF(A14="",0,C14*IFERROR(INDEX('Matérias-Primas'!$I$5:$I$45,MATCH(A14,'Matérias-Primas'!$A$5:$A$45,0)),0))</f>
        <v>0</v>
      </c>
      <c r="I14" s="20" t="n">
        <f aca="false">IF(A14="",0,C14*IFERROR(INDEX('Matérias-Primas'!$J$5:$J$45,MATCH(A14,'Matérias-Primas'!$A$5:$A$45,0)),0))</f>
        <v>0</v>
      </c>
      <c r="J14" s="20" t="n">
        <f aca="false">IF(A14="",0,C14*IFERROR(INDEX('Matérias-Primas'!$K$5:$K$45,MATCH(A14,'Matérias-Primas'!$A$5:$A$45,0)),0))</f>
        <v>0</v>
      </c>
      <c r="K14" s="20" t="n">
        <f aca="false">IF(A14="",0,C14*IFERROR(INDEX('Matérias-Primas'!$L$5:$L$45,MATCH(A14,'Matérias-Primas'!$A$5:$A$45,0)),0))</f>
        <v>0</v>
      </c>
      <c r="L14" s="20" t="n">
        <f aca="false">IF(A14="",0,C14*IFERROR(INDEX('Matérias-Primas'!$M$5:$M$45,MATCH(A14,'Matérias-Primas'!$A$5:$A$45,0)),0))</f>
        <v>0</v>
      </c>
      <c r="M14" s="20" t="n">
        <f aca="false">IF(A14="",0,C14*IFERROR(INDEX('Matérias-Primas'!$N$5:$N$45,MATCH(A14,'Matérias-Primas'!$A$5:$A$45,0)),0))</f>
        <v>0</v>
      </c>
      <c r="N14" s="20" t="n">
        <f aca="false">IF(A14="",0,C14*IFERROR(INDEX('Matérias-Primas'!$O$5:$O$45,MATCH(A14,'Matérias-Primas'!$A$5:$A$45,0)),0))</f>
        <v>0</v>
      </c>
      <c r="O14" s="20" t="n">
        <f aca="false">IF(A14="",0,C14*IFERROR(INDEX('Matérias-Primas'!$P$5:$P$45,MATCH(A14,'Matérias-Primas'!$A$5:$A$45,0)),0))</f>
        <v>0</v>
      </c>
      <c r="P14" s="20" t="n">
        <f aca="false">IF(A14="",0,C14*IFERROR(INDEX('Matérias-Primas'!$Q$5:$Q$45,MATCH(A14,'Matérias-Primas'!$A$5:$A$45,0)),0))</f>
        <v>0</v>
      </c>
      <c r="Q14" s="20" t="n">
        <f aca="false">IF(A14="",0,C14*IFERROR(INDEX('Matérias-Primas'!$R$5:$R$45,MATCH(A14,'Matérias-Primas'!$A$5:$A$45,0)),0))</f>
        <v>0</v>
      </c>
    </row>
    <row r="15" customFormat="false" ht="15" hidden="false" customHeight="false" outlineLevel="0" collapsed="false">
      <c r="A15" s="5" t="s">
        <v>106</v>
      </c>
      <c r="B15" s="21" t="n">
        <f aca="false">SUM(B5:B14)</f>
        <v>100</v>
      </c>
      <c r="C15" s="22" t="n">
        <f aca="false">SUM(C5:C14)</f>
        <v>1</v>
      </c>
      <c r="D15" s="2"/>
      <c r="E15" s="23" t="n">
        <f aca="false">SUM(E5:E14)</f>
        <v>59.265</v>
      </c>
      <c r="F15" s="23" t="n">
        <f aca="false">SUM(F5:F14)</f>
        <v>10.55</v>
      </c>
      <c r="G15" s="23" t="n">
        <f aca="false">SUM(G5:G14)</f>
        <v>4.158</v>
      </c>
      <c r="H15" s="23" t="n">
        <f aca="false">SUM(H5:H14)</f>
        <v>2.604</v>
      </c>
      <c r="I15" s="23" t="n">
        <f aca="false">SUM(I5:I14)</f>
        <v>2.75</v>
      </c>
      <c r="J15" s="23" t="n">
        <f aca="false">SUM(J5:J14)</f>
        <v>0</v>
      </c>
      <c r="K15" s="23" t="n">
        <f aca="false">SUM(K5:K14)</f>
        <v>8.498</v>
      </c>
      <c r="L15" s="23" t="n">
        <f aca="false">SUM(L5:L14)</f>
        <v>0</v>
      </c>
      <c r="M15" s="23" t="n">
        <f aca="false">SUM(M5:M14)</f>
        <v>7.02</v>
      </c>
      <c r="N15" s="23" t="n">
        <f aca="false">SUM(N5:N14)</f>
        <v>0</v>
      </c>
      <c r="O15" s="23" t="n">
        <f aca="false">SUM(O5:O14)</f>
        <v>0</v>
      </c>
      <c r="P15" s="23" t="n">
        <f aca="false">SUM(P5:P14)</f>
        <v>0.04</v>
      </c>
      <c r="Q15" s="23" t="n">
        <f aca="false">SUM(Q5:Q14)</f>
        <v>0</v>
      </c>
    </row>
    <row r="16" customFormat="false" ht="15" hidden="false" customHeight="false" outlineLevel="0" collapsed="false">
      <c r="A16" s="5" t="s">
        <v>107</v>
      </c>
      <c r="B16" s="2"/>
      <c r="C16" s="2"/>
      <c r="D16" s="2"/>
      <c r="E16" s="24" t="n">
        <f aca="false">'Matérias-Primas'!F3</f>
        <v>60.08</v>
      </c>
      <c r="F16" s="24" t="n">
        <f aca="false">'Matérias-Primas'!G3</f>
        <v>101.96</v>
      </c>
      <c r="G16" s="24" t="n">
        <f aca="false">'Matérias-Primas'!H3</f>
        <v>69.62</v>
      </c>
      <c r="H16" s="24" t="n">
        <f aca="false">'Matérias-Primas'!I3</f>
        <v>61.98</v>
      </c>
      <c r="I16" s="24" t="n">
        <f aca="false">'Matérias-Primas'!J3</f>
        <v>94.2</v>
      </c>
      <c r="J16" s="24" t="n">
        <f aca="false">'Matérias-Primas'!K3</f>
        <v>29.88</v>
      </c>
      <c r="K16" s="24" t="n">
        <f aca="false">'Matérias-Primas'!L3</f>
        <v>56.08</v>
      </c>
      <c r="L16" s="24" t="n">
        <f aca="false">'Matérias-Primas'!M3</f>
        <v>40.3</v>
      </c>
      <c r="M16" s="24" t="n">
        <f aca="false">'Matérias-Primas'!N3</f>
        <v>103.62</v>
      </c>
      <c r="N16" s="24" t="n">
        <f aca="false">'Matérias-Primas'!O3</f>
        <v>81.38</v>
      </c>
      <c r="O16" s="24" t="n">
        <f aca="false">'Matérias-Primas'!P3</f>
        <v>123.22</v>
      </c>
      <c r="P16" s="24" t="n">
        <f aca="false">'Matérias-Primas'!Q3</f>
        <v>159.69</v>
      </c>
      <c r="Q16" s="24" t="n">
        <f aca="false">'Matérias-Primas'!R3</f>
        <v>79.87</v>
      </c>
    </row>
    <row r="17" customFormat="false" ht="15" hidden="false" customHeight="false" outlineLevel="0" collapsed="false">
      <c r="A17" s="5" t="s">
        <v>108</v>
      </c>
      <c r="B17" s="2"/>
      <c r="C17" s="3" t="s">
        <v>109</v>
      </c>
      <c r="D17" s="25" t="n">
        <f aca="false">H17+I17+J17+K17+L17+M17+N17</f>
        <v>0.290487821326675</v>
      </c>
      <c r="E17" s="25" t="n">
        <f aca="false">E15/E16</f>
        <v>0.986434753661784</v>
      </c>
      <c r="F17" s="25" t="n">
        <f aca="false">F15/F16</f>
        <v>0.103471949784229</v>
      </c>
      <c r="G17" s="25" t="n">
        <f aca="false">G15/G16</f>
        <v>0.0597242171789716</v>
      </c>
      <c r="H17" s="25" t="n">
        <f aca="false">H15/H16</f>
        <v>0.0420135527589545</v>
      </c>
      <c r="I17" s="25" t="n">
        <f aca="false">I15/I16</f>
        <v>0.0291932059447983</v>
      </c>
      <c r="J17" s="25" t="n">
        <f aca="false">J15/J16</f>
        <v>0</v>
      </c>
      <c r="K17" s="25" t="n">
        <f aca="false">K15/K16</f>
        <v>0.151533523537803</v>
      </c>
      <c r="L17" s="25" t="n">
        <f aca="false">L15/L16</f>
        <v>0</v>
      </c>
      <c r="M17" s="25" t="n">
        <f aca="false">M15/M16</f>
        <v>0.0677475390851187</v>
      </c>
      <c r="N17" s="25" t="n">
        <f aca="false">N15/N16</f>
        <v>0</v>
      </c>
      <c r="O17" s="25" t="n">
        <f aca="false">O15/O16</f>
        <v>0</v>
      </c>
      <c r="P17" s="25" t="n">
        <f aca="false">P15/P16</f>
        <v>0.000250485315298391</v>
      </c>
      <c r="Q17" s="25" t="n">
        <f aca="false">Q15/Q16</f>
        <v>0</v>
      </c>
    </row>
    <row r="18" customFormat="false" ht="15" hidden="false" customHeight="false" outlineLevel="0" collapsed="false">
      <c r="A18" s="5" t="s">
        <v>110</v>
      </c>
      <c r="B18" s="2"/>
      <c r="C18" s="2"/>
      <c r="D18" s="2"/>
      <c r="E18" s="26" t="n">
        <f aca="false">IF($D$17=0,0,E17/$D$17)</f>
        <v>3.39578695298371</v>
      </c>
      <c r="F18" s="26" t="n">
        <f aca="false">IF($D$17=0,0,F17/$D$17)</f>
        <v>0.356200646593949</v>
      </c>
      <c r="G18" s="26" t="n">
        <f aca="false">IF($D$17=0,0,G17/$D$17)</f>
        <v>0.205599728436833</v>
      </c>
      <c r="H18" s="26" t="n">
        <f aca="false">IF($D$17=0,0,H17/$D$17)</f>
        <v>0.14463102985549</v>
      </c>
      <c r="I18" s="26" t="n">
        <f aca="false">IF($D$17=0,0,I17/$D$17)</f>
        <v>0.100497176823012</v>
      </c>
      <c r="J18" s="26" t="n">
        <f aca="false">IF($D$17=0,0,J17/$D$17)</f>
        <v>0</v>
      </c>
      <c r="K18" s="26" t="n">
        <f aca="false">IF($D$17=0,0,K17/$D$17)</f>
        <v>0.521651898677682</v>
      </c>
      <c r="L18" s="26" t="n">
        <f aca="false">IF($D$17=0,0,L17/$D$17)</f>
        <v>0</v>
      </c>
      <c r="M18" s="26" t="n">
        <f aca="false">IF($D$17=0,0,M17/$D$17)</f>
        <v>0.233219894643816</v>
      </c>
      <c r="N18" s="26" t="n">
        <f aca="false">IF($D$17=0,0,N17/$D$17)</f>
        <v>0</v>
      </c>
      <c r="O18" s="26" t="n">
        <f aca="false">IF($D$17=0,0,O17/$D$17)</f>
        <v>0</v>
      </c>
      <c r="P18" s="26" t="n">
        <f aca="false">IF($D$17=0,0,P17/$D$17)</f>
        <v>0.000862291968573449</v>
      </c>
      <c r="Q18" s="26" t="n">
        <f aca="false">IF($D$17=0,0,Q17/$D$17)</f>
        <v>0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15" hidden="false" customHeight="false" outlineLevel="0" collapsed="false">
      <c r="A20" s="4" t="s">
        <v>111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customFormat="false" ht="15" hidden="false" customHeight="false" outlineLevel="0" collapsed="false">
      <c r="A21" s="12" t="s">
        <v>112</v>
      </c>
      <c r="B21" s="12" t="s">
        <v>113</v>
      </c>
      <c r="C21" s="12" t="s">
        <v>114</v>
      </c>
      <c r="D21" s="12" t="s">
        <v>115</v>
      </c>
      <c r="E21" s="12" t="s">
        <v>116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customFormat="false" ht="15" hidden="false" customHeight="false" outlineLevel="0" collapsed="false">
      <c r="A22" s="27" t="s">
        <v>117</v>
      </c>
      <c r="B22" s="28" t="n">
        <f aca="false">E18</f>
        <v>3.39578695298371</v>
      </c>
      <c r="C22" s="29" t="n">
        <v>3</v>
      </c>
      <c r="D22" s="29" t="n">
        <v>4</v>
      </c>
      <c r="E22" s="30" t="str">
        <f aca="false">IF(AND(B22&gt;=C22,B22&lt;=D22),"OK","Ajustar")</f>
        <v>OK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customFormat="false" ht="15" hidden="false" customHeight="false" outlineLevel="0" collapsed="false">
      <c r="A23" s="27" t="s">
        <v>118</v>
      </c>
      <c r="B23" s="28" t="n">
        <f aca="false">F18</f>
        <v>0.356200646593949</v>
      </c>
      <c r="C23" s="29" t="n">
        <v>0.3</v>
      </c>
      <c r="D23" s="29" t="n">
        <v>0.4</v>
      </c>
      <c r="E23" s="30" t="str">
        <f aca="false">IF(AND(B23&gt;=C23,B23&lt;=D23),"OK","Ajustar")</f>
        <v>OK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customFormat="false" ht="15" hidden="false" customHeight="false" outlineLevel="0" collapsed="false">
      <c r="A24" s="27" t="s">
        <v>119</v>
      </c>
      <c r="B24" s="28" t="n">
        <f aca="false">G18</f>
        <v>0.205599728436833</v>
      </c>
      <c r="C24" s="29" t="n">
        <v>0.1</v>
      </c>
      <c r="D24" s="29" t="n">
        <v>0.3</v>
      </c>
      <c r="E24" s="30" t="str">
        <f aca="false">IF(AND(B24&gt;=C24,B24&lt;=D24),"OK","Ajustar")</f>
        <v>OK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customFormat="false" ht="15" hidden="false" customHeight="false" outlineLevel="0" collapsed="false">
      <c r="A25" s="27" t="s">
        <v>120</v>
      </c>
      <c r="B25" s="28" t="n">
        <f aca="false">IF(F18=0,0,E18/F18)</f>
        <v>9.53335426382517</v>
      </c>
      <c r="C25" s="29" t="n">
        <v>8</v>
      </c>
      <c r="D25" s="29" t="n">
        <v>10</v>
      </c>
      <c r="E25" s="30" t="str">
        <f aca="false">IF(AND(B25&gt;=C25,B25&lt;=D25),"OK","Ajustar")</f>
        <v>OK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customFormat="false" ht="15" hidden="false" customHeight="false" outlineLevel="0" collapsed="false">
      <c r="A27" s="5" t="s">
        <v>121</v>
      </c>
      <c r="B27" s="31" t="n">
        <f aca="false">SUMPRODUCT(C5:C14,D5:D14)</f>
        <v>8.69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customFormat="false" ht="15" hidden="false" customHeight="false" outlineLevel="0" collapsed="false">
      <c r="A28" s="3" t="s">
        <v>122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</sheetData>
  <conditionalFormatting sqref="E22:E2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"Ajustar"</formula>
    </cfRule>
  </conditionalFormatting>
  <dataValidations count="1">
    <dataValidation allowBlank="true" errorStyle="stop" operator="between" showDropDown="false" showErrorMessage="false" showInputMessage="false" sqref="A5:A14" type="list">
      <formula1>'Matérias-Primas'!$A$5:$A$45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7" min="2" style="0" width="11"/>
  </cols>
  <sheetData>
    <row r="1" customFormat="false" ht="17.35" hidden="false" customHeight="false" outlineLevel="0" collapsed="false">
      <c r="A1" s="1" t="s">
        <v>127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3" t="s">
        <v>90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5.05" hidden="false" customHeight="false" outlineLevel="0" collapsed="false">
      <c r="A4" s="12" t="s">
        <v>34</v>
      </c>
      <c r="B4" s="12" t="s">
        <v>91</v>
      </c>
      <c r="C4" s="12" t="s">
        <v>92</v>
      </c>
      <c r="D4" s="12" t="s">
        <v>37</v>
      </c>
      <c r="E4" s="12" t="s">
        <v>93</v>
      </c>
      <c r="F4" s="12" t="s">
        <v>94</v>
      </c>
      <c r="G4" s="12" t="s">
        <v>95</v>
      </c>
      <c r="H4" s="12" t="s">
        <v>96</v>
      </c>
      <c r="I4" s="12" t="s">
        <v>97</v>
      </c>
      <c r="J4" s="12" t="s">
        <v>98</v>
      </c>
      <c r="K4" s="12" t="s">
        <v>99</v>
      </c>
      <c r="L4" s="12" t="s">
        <v>100</v>
      </c>
      <c r="M4" s="12" t="s">
        <v>101</v>
      </c>
      <c r="N4" s="12" t="s">
        <v>102</v>
      </c>
      <c r="O4" s="12" t="s">
        <v>103</v>
      </c>
      <c r="P4" s="12" t="s">
        <v>104</v>
      </c>
      <c r="Q4" s="12" t="s">
        <v>105</v>
      </c>
    </row>
    <row r="5" customFormat="false" ht="15" hidden="false" customHeight="false" outlineLevel="0" collapsed="false">
      <c r="A5" s="13" t="s">
        <v>66</v>
      </c>
      <c r="B5" s="15" t="n">
        <v>30</v>
      </c>
      <c r="C5" s="18" t="n">
        <f aca="false">IF(B5="","",B5/SUM($B$5:$B$14))</f>
        <v>0.3</v>
      </c>
      <c r="D5" s="19" t="n">
        <f aca="false">IF(A5="","",IFERROR(INDEX('Matérias-Primas'!$D$5:$D$45,MATCH(A5,'Matérias-Primas'!$A$5:$A$45,0)),0))</f>
        <v>15</v>
      </c>
      <c r="E5" s="20" t="n">
        <f aca="false">IF(A5="",0,C5*IFERROR(INDEX('Matérias-Primas'!$F$5:$F$45,MATCH(A5,'Matérias-Primas'!$A$5:$A$45,0)),0))</f>
        <v>13.95</v>
      </c>
      <c r="F5" s="20" t="n">
        <f aca="false">IF(A5="",0,C5*IFERROR(INDEX('Matérias-Primas'!$G$5:$G$45,MATCH(A5,'Matérias-Primas'!$A$5:$A$45,0)),0))</f>
        <v>0</v>
      </c>
      <c r="G5" s="20" t="n">
        <f aca="false">IF(A5="",0,C5*IFERROR(INDEX('Matérias-Primas'!$H$5:$H$45,MATCH(A5,'Matérias-Primas'!$A$5:$A$45,0)),0))</f>
        <v>6.93</v>
      </c>
      <c r="H5" s="20" t="n">
        <f aca="false">IF(A5="",0,C5*IFERROR(INDEX('Matérias-Primas'!$I$5:$I$45,MATCH(A5,'Matérias-Primas'!$A$5:$A$45,0)),0))</f>
        <v>3.09</v>
      </c>
      <c r="I5" s="20" t="n">
        <f aca="false">IF(A5="",0,C5*IFERROR(INDEX('Matérias-Primas'!$J$5:$J$45,MATCH(A5,'Matérias-Primas'!$A$5:$A$45,0)),0))</f>
        <v>0</v>
      </c>
      <c r="J5" s="20" t="n">
        <f aca="false">IF(A5="",0,C5*IFERROR(INDEX('Matérias-Primas'!$K$5:$K$45,MATCH(A5,'Matérias-Primas'!$A$5:$A$45,0)),0))</f>
        <v>0</v>
      </c>
      <c r="K5" s="20" t="n">
        <f aca="false">IF(A5="",0,C5*IFERROR(INDEX('Matérias-Primas'!$L$5:$L$45,MATCH(A5,'Matérias-Primas'!$A$5:$A$45,0)),0))</f>
        <v>6.03</v>
      </c>
      <c r="L5" s="20" t="n">
        <f aca="false">IF(A5="",0,C5*IFERROR(INDEX('Matérias-Primas'!$M$5:$M$45,MATCH(A5,'Matérias-Primas'!$A$5:$A$45,0)),0))</f>
        <v>0</v>
      </c>
      <c r="M5" s="20" t="n">
        <f aca="false">IF(A5="",0,C5*IFERROR(INDEX('Matérias-Primas'!$N$5:$N$45,MATCH(A5,'Matérias-Primas'!$A$5:$A$45,0)),0))</f>
        <v>0</v>
      </c>
      <c r="N5" s="20" t="n">
        <f aca="false">IF(A5="",0,C5*IFERROR(INDEX('Matérias-Primas'!$O$5:$O$45,MATCH(A5,'Matérias-Primas'!$A$5:$A$45,0)),0))</f>
        <v>0</v>
      </c>
      <c r="O5" s="20" t="n">
        <f aca="false">IF(A5="",0,C5*IFERROR(INDEX('Matérias-Primas'!$P$5:$P$45,MATCH(A5,'Matérias-Primas'!$A$5:$A$45,0)),0))</f>
        <v>0</v>
      </c>
      <c r="P5" s="20" t="n">
        <f aca="false">IF(A5="",0,C5*IFERROR(INDEX('Matérias-Primas'!$Q$5:$Q$45,MATCH(A5,'Matérias-Primas'!$A$5:$A$45,0)),0))</f>
        <v>0</v>
      </c>
      <c r="Q5" s="20" t="n">
        <f aca="false">IF(A5="",0,C5*IFERROR(INDEX('Matérias-Primas'!$R$5:$R$45,MATCH(A5,'Matérias-Primas'!$A$5:$A$45,0)),0))</f>
        <v>0</v>
      </c>
    </row>
    <row r="6" customFormat="false" ht="15" hidden="false" customHeight="false" outlineLevel="0" collapsed="false">
      <c r="A6" s="13" t="s">
        <v>53</v>
      </c>
      <c r="B6" s="15" t="n">
        <v>20</v>
      </c>
      <c r="C6" s="18" t="n">
        <f aca="false">IF(B6="","",B6/SUM($B$5:$B$14))</f>
        <v>0.2</v>
      </c>
      <c r="D6" s="19" t="n">
        <f aca="false">IF(A6="","",IFERROR(INDEX('Matérias-Primas'!$D$5:$D$45,MATCH(A6,'Matérias-Primas'!$A$5:$A$45,0)),0))</f>
        <v>3.5</v>
      </c>
      <c r="E6" s="20" t="n">
        <f aca="false">IF(A6="",0,C6*IFERROR(INDEX('Matérias-Primas'!$F$5:$F$45,MATCH(A6,'Matérias-Primas'!$A$5:$A$45,0)),0))</f>
        <v>13.4</v>
      </c>
      <c r="F6" s="20" t="n">
        <f aca="false">IF(A6="",0,C6*IFERROR(INDEX('Matérias-Primas'!$G$5:$G$45,MATCH(A6,'Matérias-Primas'!$A$5:$A$45,0)),0))</f>
        <v>3.7</v>
      </c>
      <c r="G6" s="20" t="n">
        <f aca="false">IF(A6="",0,C6*IFERROR(INDEX('Matérias-Primas'!$H$5:$H$45,MATCH(A6,'Matérias-Primas'!$A$5:$A$45,0)),0))</f>
        <v>0</v>
      </c>
      <c r="H6" s="20" t="n">
        <f aca="false">IF(A6="",0,C6*IFERROR(INDEX('Matérias-Primas'!$I$5:$I$45,MATCH(A6,'Matérias-Primas'!$A$5:$A$45,0)),0))</f>
        <v>0.6</v>
      </c>
      <c r="I6" s="20" t="n">
        <f aca="false">IF(A6="",0,C6*IFERROR(INDEX('Matérias-Primas'!$J$5:$J$45,MATCH(A6,'Matérias-Primas'!$A$5:$A$45,0)),0))</f>
        <v>2.2</v>
      </c>
      <c r="J6" s="20" t="n">
        <f aca="false">IF(A6="",0,C6*IFERROR(INDEX('Matérias-Primas'!$K$5:$K$45,MATCH(A6,'Matérias-Primas'!$A$5:$A$45,0)),0))</f>
        <v>0</v>
      </c>
      <c r="K6" s="20" t="n">
        <f aca="false">IF(A6="",0,C6*IFERROR(INDEX('Matérias-Primas'!$L$5:$L$45,MATCH(A6,'Matérias-Primas'!$A$5:$A$45,0)),0))</f>
        <v>0.04</v>
      </c>
      <c r="L6" s="20" t="n">
        <f aca="false">IF(A6="",0,C6*IFERROR(INDEX('Matérias-Primas'!$M$5:$M$45,MATCH(A6,'Matérias-Primas'!$A$5:$A$45,0)),0))</f>
        <v>0</v>
      </c>
      <c r="M6" s="20" t="n">
        <f aca="false">IF(A6="",0,C6*IFERROR(INDEX('Matérias-Primas'!$N$5:$N$45,MATCH(A6,'Matérias-Primas'!$A$5:$A$45,0)),0))</f>
        <v>0</v>
      </c>
      <c r="N6" s="20" t="n">
        <f aca="false">IF(A6="",0,C6*IFERROR(INDEX('Matérias-Primas'!$O$5:$O$45,MATCH(A6,'Matérias-Primas'!$A$5:$A$45,0)),0))</f>
        <v>0</v>
      </c>
      <c r="O6" s="20" t="n">
        <f aca="false">IF(A6="",0,C6*IFERROR(INDEX('Matérias-Primas'!$P$5:$P$45,MATCH(A6,'Matérias-Primas'!$A$5:$A$45,0)),0))</f>
        <v>0</v>
      </c>
      <c r="P6" s="20" t="n">
        <f aca="false">IF(A6="",0,C6*IFERROR(INDEX('Matérias-Primas'!$Q$5:$Q$45,MATCH(A6,'Matérias-Primas'!$A$5:$A$45,0)),0))</f>
        <v>0.02</v>
      </c>
      <c r="Q6" s="20" t="n">
        <f aca="false">IF(A6="",0,C6*IFERROR(INDEX('Matérias-Primas'!$R$5:$R$45,MATCH(A6,'Matérias-Primas'!$A$5:$A$45,0)),0))</f>
        <v>0</v>
      </c>
    </row>
    <row r="7" customFormat="false" ht="15" hidden="false" customHeight="false" outlineLevel="0" collapsed="false">
      <c r="A7" s="13" t="s">
        <v>64</v>
      </c>
      <c r="B7" s="15" t="n">
        <v>8</v>
      </c>
      <c r="C7" s="18" t="n">
        <f aca="false">IF(B7="","",B7/SUM($B$5:$B$14))</f>
        <v>0.08</v>
      </c>
      <c r="D7" s="19" t="n">
        <f aca="false">IF(A7="","",IFERROR(INDEX('Matérias-Primas'!$D$5:$D$45,MATCH(A7,'Matérias-Primas'!$A$5:$A$45,0)),0))</f>
        <v>35</v>
      </c>
      <c r="E7" s="20" t="n">
        <f aca="false">IF(A7="",0,C7*IFERROR(INDEX('Matérias-Primas'!$F$5:$F$45,MATCH(A7,'Matérias-Primas'!$A$5:$A$45,0)),0))</f>
        <v>0</v>
      </c>
      <c r="F7" s="20" t="n">
        <f aca="false">IF(A7="",0,C7*IFERROR(INDEX('Matérias-Primas'!$G$5:$G$45,MATCH(A7,'Matérias-Primas'!$A$5:$A$45,0)),0))</f>
        <v>0</v>
      </c>
      <c r="G7" s="20" t="n">
        <f aca="false">IF(A7="",0,C7*IFERROR(INDEX('Matérias-Primas'!$H$5:$H$45,MATCH(A7,'Matérias-Primas'!$A$5:$A$45,0)),0))</f>
        <v>0</v>
      </c>
      <c r="H7" s="20" t="n">
        <f aca="false">IF(A7="",0,C7*IFERROR(INDEX('Matérias-Primas'!$I$5:$I$45,MATCH(A7,'Matérias-Primas'!$A$5:$A$45,0)),0))</f>
        <v>0</v>
      </c>
      <c r="I7" s="20" t="n">
        <f aca="false">IF(A7="",0,C7*IFERROR(INDEX('Matérias-Primas'!$J$5:$J$45,MATCH(A7,'Matérias-Primas'!$A$5:$A$45,0)),0))</f>
        <v>0</v>
      </c>
      <c r="J7" s="20" t="n">
        <f aca="false">IF(A7="",0,C7*IFERROR(INDEX('Matérias-Primas'!$K$5:$K$45,MATCH(A7,'Matérias-Primas'!$A$5:$A$45,0)),0))</f>
        <v>0</v>
      </c>
      <c r="K7" s="20" t="n">
        <f aca="false">IF(A7="",0,C7*IFERROR(INDEX('Matérias-Primas'!$L$5:$L$45,MATCH(A7,'Matérias-Primas'!$A$5:$A$45,0)),0))</f>
        <v>0</v>
      </c>
      <c r="L7" s="20" t="n">
        <f aca="false">IF(A7="",0,C7*IFERROR(INDEX('Matérias-Primas'!$M$5:$M$45,MATCH(A7,'Matérias-Primas'!$A$5:$A$45,0)),0))</f>
        <v>0</v>
      </c>
      <c r="M7" s="20" t="n">
        <f aca="false">IF(A7="",0,C7*IFERROR(INDEX('Matérias-Primas'!$N$5:$N$45,MATCH(A7,'Matérias-Primas'!$A$5:$A$45,0)),0))</f>
        <v>5.616</v>
      </c>
      <c r="N7" s="20" t="n">
        <f aca="false">IF(A7="",0,C7*IFERROR(INDEX('Matérias-Primas'!$O$5:$O$45,MATCH(A7,'Matérias-Primas'!$A$5:$A$45,0)),0))</f>
        <v>0</v>
      </c>
      <c r="O7" s="20" t="n">
        <f aca="false">IF(A7="",0,C7*IFERROR(INDEX('Matérias-Primas'!$P$5:$P$45,MATCH(A7,'Matérias-Primas'!$A$5:$A$45,0)),0))</f>
        <v>0</v>
      </c>
      <c r="P7" s="20" t="n">
        <f aca="false">IF(A7="",0,C7*IFERROR(INDEX('Matérias-Primas'!$Q$5:$Q$45,MATCH(A7,'Matérias-Primas'!$A$5:$A$45,0)),0))</f>
        <v>0</v>
      </c>
      <c r="Q7" s="20" t="n">
        <f aca="false">IF(A7="",0,C7*IFERROR(INDEX('Matérias-Primas'!$R$5:$R$45,MATCH(A7,'Matérias-Primas'!$A$5:$A$45,0)),0))</f>
        <v>0</v>
      </c>
    </row>
    <row r="8" customFormat="false" ht="15" hidden="false" customHeight="false" outlineLevel="0" collapsed="false">
      <c r="A8" s="13" t="s">
        <v>60</v>
      </c>
      <c r="B8" s="15" t="n">
        <v>7</v>
      </c>
      <c r="C8" s="18" t="n">
        <f aca="false">IF(B8="","",B8/SUM($B$5:$B$14))</f>
        <v>0.07</v>
      </c>
      <c r="D8" s="19" t="n">
        <f aca="false">IF(A8="","",IFERROR(INDEX('Matérias-Primas'!$D$5:$D$45,MATCH(A8,'Matérias-Primas'!$A$5:$A$45,0)),0))</f>
        <v>8</v>
      </c>
      <c r="E8" s="20" t="n">
        <f aca="false">IF(A8="",0,C8*IFERROR(INDEX('Matérias-Primas'!$F$5:$F$45,MATCH(A8,'Matérias-Primas'!$A$5:$A$45,0)),0))</f>
        <v>3.619</v>
      </c>
      <c r="F8" s="20" t="n">
        <f aca="false">IF(A8="",0,C8*IFERROR(INDEX('Matérias-Primas'!$G$5:$G$45,MATCH(A8,'Matérias-Primas'!$A$5:$A$45,0)),0))</f>
        <v>0</v>
      </c>
      <c r="G8" s="20" t="n">
        <f aca="false">IF(A8="",0,C8*IFERROR(INDEX('Matérias-Primas'!$H$5:$H$45,MATCH(A8,'Matérias-Primas'!$A$5:$A$45,0)),0))</f>
        <v>0</v>
      </c>
      <c r="H8" s="20" t="n">
        <f aca="false">IF(A8="",0,C8*IFERROR(INDEX('Matérias-Primas'!$I$5:$I$45,MATCH(A8,'Matérias-Primas'!$A$5:$A$45,0)),0))</f>
        <v>0</v>
      </c>
      <c r="I8" s="20" t="n">
        <f aca="false">IF(A8="",0,C8*IFERROR(INDEX('Matérias-Primas'!$J$5:$J$45,MATCH(A8,'Matérias-Primas'!$A$5:$A$45,0)),0))</f>
        <v>0</v>
      </c>
      <c r="J8" s="20" t="n">
        <f aca="false">IF(A8="",0,C8*IFERROR(INDEX('Matérias-Primas'!$K$5:$K$45,MATCH(A8,'Matérias-Primas'!$A$5:$A$45,0)),0))</f>
        <v>0</v>
      </c>
      <c r="K8" s="20" t="n">
        <f aca="false">IF(A8="",0,C8*IFERROR(INDEX('Matérias-Primas'!$L$5:$L$45,MATCH(A8,'Matérias-Primas'!$A$5:$A$45,0)),0))</f>
        <v>3.381</v>
      </c>
      <c r="L8" s="20" t="n">
        <f aca="false">IF(A8="",0,C8*IFERROR(INDEX('Matérias-Primas'!$M$5:$M$45,MATCH(A8,'Matérias-Primas'!$A$5:$A$45,0)),0))</f>
        <v>0</v>
      </c>
      <c r="M8" s="20" t="n">
        <f aca="false">IF(A8="",0,C8*IFERROR(INDEX('Matérias-Primas'!$N$5:$N$45,MATCH(A8,'Matérias-Primas'!$A$5:$A$45,0)),0))</f>
        <v>0</v>
      </c>
      <c r="N8" s="20" t="n">
        <f aca="false">IF(A8="",0,C8*IFERROR(INDEX('Matérias-Primas'!$O$5:$O$45,MATCH(A8,'Matérias-Primas'!$A$5:$A$45,0)),0))</f>
        <v>0</v>
      </c>
      <c r="O8" s="20" t="n">
        <f aca="false">IF(A8="",0,C8*IFERROR(INDEX('Matérias-Primas'!$P$5:$P$45,MATCH(A8,'Matérias-Primas'!$A$5:$A$45,0)),0))</f>
        <v>0</v>
      </c>
      <c r="P8" s="20" t="n">
        <f aca="false">IF(A8="",0,C8*IFERROR(INDEX('Matérias-Primas'!$Q$5:$Q$45,MATCH(A8,'Matérias-Primas'!$A$5:$A$45,0)),0))</f>
        <v>0</v>
      </c>
      <c r="Q8" s="20" t="n">
        <f aca="false">IF(A8="",0,C8*IFERROR(INDEX('Matérias-Primas'!$R$5:$R$45,MATCH(A8,'Matérias-Primas'!$A$5:$A$45,0)),0))</f>
        <v>0</v>
      </c>
    </row>
    <row r="9" customFormat="false" ht="15" hidden="false" customHeight="false" outlineLevel="0" collapsed="false">
      <c r="A9" s="13" t="s">
        <v>56</v>
      </c>
      <c r="B9" s="15" t="n">
        <v>15</v>
      </c>
      <c r="C9" s="18" t="n">
        <f aca="false">IF(B9="","",B9/SUM($B$5:$B$14))</f>
        <v>0.15</v>
      </c>
      <c r="D9" s="19" t="n">
        <f aca="false">IF(A9="","",IFERROR(INDEX('Matérias-Primas'!$D$5:$D$45,MATCH(A9,'Matérias-Primas'!$A$5:$A$45,0)),0))</f>
        <v>2.5</v>
      </c>
      <c r="E9" s="20" t="n">
        <f aca="false">IF(A9="",0,C9*IFERROR(INDEX('Matérias-Primas'!$F$5:$F$45,MATCH(A9,'Matérias-Primas'!$A$5:$A$45,0)),0))</f>
        <v>6.975</v>
      </c>
      <c r="F9" s="20" t="n">
        <f aca="false">IF(A9="",0,C9*IFERROR(INDEX('Matérias-Primas'!$G$5:$G$45,MATCH(A9,'Matérias-Primas'!$A$5:$A$45,0)),0))</f>
        <v>5.925</v>
      </c>
      <c r="G9" s="20" t="n">
        <f aca="false">IF(A9="",0,C9*IFERROR(INDEX('Matérias-Primas'!$H$5:$H$45,MATCH(A9,'Matérias-Primas'!$A$5:$A$45,0)),0))</f>
        <v>0</v>
      </c>
      <c r="H9" s="20" t="n">
        <f aca="false">IF(A9="",0,C9*IFERROR(INDEX('Matérias-Primas'!$I$5:$I$45,MATCH(A9,'Matérias-Primas'!$A$5:$A$45,0)),0))</f>
        <v>0</v>
      </c>
      <c r="I9" s="20" t="n">
        <f aca="false">IF(A9="",0,C9*IFERROR(INDEX('Matérias-Primas'!$J$5:$J$45,MATCH(A9,'Matérias-Primas'!$A$5:$A$45,0)),0))</f>
        <v>0</v>
      </c>
      <c r="J9" s="20" t="n">
        <f aca="false">IF(A9="",0,C9*IFERROR(INDEX('Matérias-Primas'!$K$5:$K$45,MATCH(A9,'Matérias-Primas'!$A$5:$A$45,0)),0))</f>
        <v>0</v>
      </c>
      <c r="K9" s="20" t="n">
        <f aca="false">IF(A9="",0,C9*IFERROR(INDEX('Matérias-Primas'!$L$5:$L$45,MATCH(A9,'Matérias-Primas'!$A$5:$A$45,0)),0))</f>
        <v>0</v>
      </c>
      <c r="L9" s="20" t="n">
        <f aca="false">IF(A9="",0,C9*IFERROR(INDEX('Matérias-Primas'!$M$5:$M$45,MATCH(A9,'Matérias-Primas'!$A$5:$A$45,0)),0))</f>
        <v>0</v>
      </c>
      <c r="M9" s="20" t="n">
        <f aca="false">IF(A9="",0,C9*IFERROR(INDEX('Matérias-Primas'!$N$5:$N$45,MATCH(A9,'Matérias-Primas'!$A$5:$A$45,0)),0))</f>
        <v>0</v>
      </c>
      <c r="N9" s="20" t="n">
        <f aca="false">IF(A9="",0,C9*IFERROR(INDEX('Matérias-Primas'!$O$5:$O$45,MATCH(A9,'Matérias-Primas'!$A$5:$A$45,0)),0))</f>
        <v>0</v>
      </c>
      <c r="O9" s="20" t="n">
        <f aca="false">IF(A9="",0,C9*IFERROR(INDEX('Matérias-Primas'!$P$5:$P$45,MATCH(A9,'Matérias-Primas'!$A$5:$A$45,0)),0))</f>
        <v>0</v>
      </c>
      <c r="P9" s="20" t="n">
        <f aca="false">IF(A9="",0,C9*IFERROR(INDEX('Matérias-Primas'!$Q$5:$Q$45,MATCH(A9,'Matérias-Primas'!$A$5:$A$45,0)),0))</f>
        <v>0.015</v>
      </c>
      <c r="Q9" s="20" t="n">
        <f aca="false">IF(A9="",0,C9*IFERROR(INDEX('Matérias-Primas'!$R$5:$R$45,MATCH(A9,'Matérias-Primas'!$A$5:$A$45,0)),0))</f>
        <v>0</v>
      </c>
    </row>
    <row r="10" customFormat="false" ht="15" hidden="false" customHeight="false" outlineLevel="0" collapsed="false">
      <c r="A10" s="13" t="s">
        <v>58</v>
      </c>
      <c r="B10" s="15" t="n">
        <v>20</v>
      </c>
      <c r="C10" s="18" t="n">
        <f aca="false">IF(B10="","",B10/SUM($B$5:$B$14))</f>
        <v>0.2</v>
      </c>
      <c r="D10" s="19" t="n">
        <f aca="false">IF(A10="","",IFERROR(INDEX('Matérias-Primas'!$D$5:$D$45,MATCH(A10,'Matérias-Primas'!$A$5:$A$45,0)),0))</f>
        <v>2</v>
      </c>
      <c r="E10" s="20" t="n">
        <f aca="false">IF(A10="",0,C10*IFERROR(INDEX('Matérias-Primas'!$F$5:$F$45,MATCH(A10,'Matérias-Primas'!$A$5:$A$45,0)),0))</f>
        <v>20</v>
      </c>
      <c r="F10" s="20" t="n">
        <f aca="false">IF(A10="",0,C10*IFERROR(INDEX('Matérias-Primas'!$G$5:$G$45,MATCH(A10,'Matérias-Primas'!$A$5:$A$45,0)),0))</f>
        <v>0</v>
      </c>
      <c r="G10" s="20" t="n">
        <f aca="false">IF(A10="",0,C10*IFERROR(INDEX('Matérias-Primas'!$H$5:$H$45,MATCH(A10,'Matérias-Primas'!$A$5:$A$45,0)),0))</f>
        <v>0</v>
      </c>
      <c r="H10" s="20" t="n">
        <f aca="false">IF(A10="",0,C10*IFERROR(INDEX('Matérias-Primas'!$I$5:$I$45,MATCH(A10,'Matérias-Primas'!$A$5:$A$45,0)),0))</f>
        <v>0</v>
      </c>
      <c r="I10" s="20" t="n">
        <f aca="false">IF(A10="",0,C10*IFERROR(INDEX('Matérias-Primas'!$J$5:$J$45,MATCH(A10,'Matérias-Primas'!$A$5:$A$45,0)),0))</f>
        <v>0</v>
      </c>
      <c r="J10" s="20" t="n">
        <f aca="false">IF(A10="",0,C10*IFERROR(INDEX('Matérias-Primas'!$K$5:$K$45,MATCH(A10,'Matérias-Primas'!$A$5:$A$45,0)),0))</f>
        <v>0</v>
      </c>
      <c r="K10" s="20" t="n">
        <f aca="false">IF(A10="",0,C10*IFERROR(INDEX('Matérias-Primas'!$L$5:$L$45,MATCH(A10,'Matérias-Primas'!$A$5:$A$45,0)),0))</f>
        <v>0</v>
      </c>
      <c r="L10" s="20" t="n">
        <f aca="false">IF(A10="",0,C10*IFERROR(INDEX('Matérias-Primas'!$M$5:$M$45,MATCH(A10,'Matérias-Primas'!$A$5:$A$45,0)),0))</f>
        <v>0</v>
      </c>
      <c r="M10" s="20" t="n">
        <f aca="false">IF(A10="",0,C10*IFERROR(INDEX('Matérias-Primas'!$N$5:$N$45,MATCH(A10,'Matérias-Primas'!$A$5:$A$45,0)),0))</f>
        <v>0</v>
      </c>
      <c r="N10" s="20" t="n">
        <f aca="false">IF(A10="",0,C10*IFERROR(INDEX('Matérias-Primas'!$O$5:$O$45,MATCH(A10,'Matérias-Primas'!$A$5:$A$45,0)),0))</f>
        <v>0</v>
      </c>
      <c r="O10" s="20" t="n">
        <f aca="false">IF(A10="",0,C10*IFERROR(INDEX('Matérias-Primas'!$P$5:$P$45,MATCH(A10,'Matérias-Primas'!$A$5:$A$45,0)),0))</f>
        <v>0</v>
      </c>
      <c r="P10" s="20" t="n">
        <f aca="false">IF(A10="",0,C10*IFERROR(INDEX('Matérias-Primas'!$Q$5:$Q$45,MATCH(A10,'Matérias-Primas'!$A$5:$A$45,0)),0))</f>
        <v>0</v>
      </c>
      <c r="Q10" s="20" t="n">
        <f aca="false">IF(A10="",0,C10*IFERROR(INDEX('Matérias-Primas'!$R$5:$R$45,MATCH(A10,'Matérias-Primas'!$A$5:$A$45,0)),0))</f>
        <v>0</v>
      </c>
    </row>
    <row r="11" customFormat="false" ht="15" hidden="false" customHeight="false" outlineLevel="0" collapsed="false">
      <c r="A11" s="13"/>
      <c r="B11" s="15"/>
      <c r="C11" s="18" t="str">
        <f aca="false">IF(B11="","",B11/SUM($B$5:$B$14))</f>
        <v/>
      </c>
      <c r="D11" s="19" t="str">
        <f aca="false">IF(A11="","",IFERROR(INDEX('Matérias-Primas'!$D$5:$D$45,MATCH(A11,'Matérias-Primas'!$A$5:$A$45,0)),0))</f>
        <v/>
      </c>
      <c r="E11" s="20" t="n">
        <f aca="false">IF(A11="",0,C11*IFERROR(INDEX('Matérias-Primas'!$F$5:$F$45,MATCH(A11,'Matérias-Primas'!$A$5:$A$45,0)),0))</f>
        <v>0</v>
      </c>
      <c r="F11" s="20" t="n">
        <f aca="false">IF(A11="",0,C11*IFERROR(INDEX('Matérias-Primas'!$G$5:$G$45,MATCH(A11,'Matérias-Primas'!$A$5:$A$45,0)),0))</f>
        <v>0</v>
      </c>
      <c r="G11" s="20" t="n">
        <f aca="false">IF(A11="",0,C11*IFERROR(INDEX('Matérias-Primas'!$H$5:$H$45,MATCH(A11,'Matérias-Primas'!$A$5:$A$45,0)),0))</f>
        <v>0</v>
      </c>
      <c r="H11" s="20" t="n">
        <f aca="false">IF(A11="",0,C11*IFERROR(INDEX('Matérias-Primas'!$I$5:$I$45,MATCH(A11,'Matérias-Primas'!$A$5:$A$45,0)),0))</f>
        <v>0</v>
      </c>
      <c r="I11" s="20" t="n">
        <f aca="false">IF(A11="",0,C11*IFERROR(INDEX('Matérias-Primas'!$J$5:$J$45,MATCH(A11,'Matérias-Primas'!$A$5:$A$45,0)),0))</f>
        <v>0</v>
      </c>
      <c r="J11" s="20" t="n">
        <f aca="false">IF(A11="",0,C11*IFERROR(INDEX('Matérias-Primas'!$K$5:$K$45,MATCH(A11,'Matérias-Primas'!$A$5:$A$45,0)),0))</f>
        <v>0</v>
      </c>
      <c r="K11" s="20" t="n">
        <f aca="false">IF(A11="",0,C11*IFERROR(INDEX('Matérias-Primas'!$L$5:$L$45,MATCH(A11,'Matérias-Primas'!$A$5:$A$45,0)),0))</f>
        <v>0</v>
      </c>
      <c r="L11" s="20" t="n">
        <f aca="false">IF(A11="",0,C11*IFERROR(INDEX('Matérias-Primas'!$M$5:$M$45,MATCH(A11,'Matérias-Primas'!$A$5:$A$45,0)),0))</f>
        <v>0</v>
      </c>
      <c r="M11" s="20" t="n">
        <f aca="false">IF(A11="",0,C11*IFERROR(INDEX('Matérias-Primas'!$N$5:$N$45,MATCH(A11,'Matérias-Primas'!$A$5:$A$45,0)),0))</f>
        <v>0</v>
      </c>
      <c r="N11" s="20" t="n">
        <f aca="false">IF(A11="",0,C11*IFERROR(INDEX('Matérias-Primas'!$O$5:$O$45,MATCH(A11,'Matérias-Primas'!$A$5:$A$45,0)),0))</f>
        <v>0</v>
      </c>
      <c r="O11" s="20" t="n">
        <f aca="false">IF(A11="",0,C11*IFERROR(INDEX('Matérias-Primas'!$P$5:$P$45,MATCH(A11,'Matérias-Primas'!$A$5:$A$45,0)),0))</f>
        <v>0</v>
      </c>
      <c r="P11" s="20" t="n">
        <f aca="false">IF(A11="",0,C11*IFERROR(INDEX('Matérias-Primas'!$Q$5:$Q$45,MATCH(A11,'Matérias-Primas'!$A$5:$A$45,0)),0))</f>
        <v>0</v>
      </c>
      <c r="Q11" s="20" t="n">
        <f aca="false">IF(A11="",0,C11*IFERROR(INDEX('Matérias-Primas'!$R$5:$R$45,MATCH(A11,'Matérias-Primas'!$A$5:$A$45,0)),0))</f>
        <v>0</v>
      </c>
    </row>
    <row r="12" customFormat="false" ht="15" hidden="false" customHeight="false" outlineLevel="0" collapsed="false">
      <c r="A12" s="13"/>
      <c r="B12" s="15"/>
      <c r="C12" s="18" t="str">
        <f aca="false">IF(B12="","",B12/SUM($B$5:$B$14))</f>
        <v/>
      </c>
      <c r="D12" s="19" t="str">
        <f aca="false">IF(A12="","",IFERROR(INDEX('Matérias-Primas'!$D$5:$D$45,MATCH(A12,'Matérias-Primas'!$A$5:$A$45,0)),0))</f>
        <v/>
      </c>
      <c r="E12" s="20" t="n">
        <f aca="false">IF(A12="",0,C12*IFERROR(INDEX('Matérias-Primas'!$F$5:$F$45,MATCH(A12,'Matérias-Primas'!$A$5:$A$45,0)),0))</f>
        <v>0</v>
      </c>
      <c r="F12" s="20" t="n">
        <f aca="false">IF(A12="",0,C12*IFERROR(INDEX('Matérias-Primas'!$G$5:$G$45,MATCH(A12,'Matérias-Primas'!$A$5:$A$45,0)),0))</f>
        <v>0</v>
      </c>
      <c r="G12" s="20" t="n">
        <f aca="false">IF(A12="",0,C12*IFERROR(INDEX('Matérias-Primas'!$H$5:$H$45,MATCH(A12,'Matérias-Primas'!$A$5:$A$45,0)),0))</f>
        <v>0</v>
      </c>
      <c r="H12" s="20" t="n">
        <f aca="false">IF(A12="",0,C12*IFERROR(INDEX('Matérias-Primas'!$I$5:$I$45,MATCH(A12,'Matérias-Primas'!$A$5:$A$45,0)),0))</f>
        <v>0</v>
      </c>
      <c r="I12" s="20" t="n">
        <f aca="false">IF(A12="",0,C12*IFERROR(INDEX('Matérias-Primas'!$J$5:$J$45,MATCH(A12,'Matérias-Primas'!$A$5:$A$45,0)),0))</f>
        <v>0</v>
      </c>
      <c r="J12" s="20" t="n">
        <f aca="false">IF(A12="",0,C12*IFERROR(INDEX('Matérias-Primas'!$K$5:$K$45,MATCH(A12,'Matérias-Primas'!$A$5:$A$45,0)),0))</f>
        <v>0</v>
      </c>
      <c r="K12" s="20" t="n">
        <f aca="false">IF(A12="",0,C12*IFERROR(INDEX('Matérias-Primas'!$L$5:$L$45,MATCH(A12,'Matérias-Primas'!$A$5:$A$45,0)),0))</f>
        <v>0</v>
      </c>
      <c r="L12" s="20" t="n">
        <f aca="false">IF(A12="",0,C12*IFERROR(INDEX('Matérias-Primas'!$M$5:$M$45,MATCH(A12,'Matérias-Primas'!$A$5:$A$45,0)),0))</f>
        <v>0</v>
      </c>
      <c r="M12" s="20" t="n">
        <f aca="false">IF(A12="",0,C12*IFERROR(INDEX('Matérias-Primas'!$N$5:$N$45,MATCH(A12,'Matérias-Primas'!$A$5:$A$45,0)),0))</f>
        <v>0</v>
      </c>
      <c r="N12" s="20" t="n">
        <f aca="false">IF(A12="",0,C12*IFERROR(INDEX('Matérias-Primas'!$O$5:$O$45,MATCH(A12,'Matérias-Primas'!$A$5:$A$45,0)),0))</f>
        <v>0</v>
      </c>
      <c r="O12" s="20" t="n">
        <f aca="false">IF(A12="",0,C12*IFERROR(INDEX('Matérias-Primas'!$P$5:$P$45,MATCH(A12,'Matérias-Primas'!$A$5:$A$45,0)),0))</f>
        <v>0</v>
      </c>
      <c r="P12" s="20" t="n">
        <f aca="false">IF(A12="",0,C12*IFERROR(INDEX('Matérias-Primas'!$Q$5:$Q$45,MATCH(A12,'Matérias-Primas'!$A$5:$A$45,0)),0))</f>
        <v>0</v>
      </c>
      <c r="Q12" s="20" t="n">
        <f aca="false">IF(A12="",0,C12*IFERROR(INDEX('Matérias-Primas'!$R$5:$R$45,MATCH(A12,'Matérias-Primas'!$A$5:$A$45,0)),0))</f>
        <v>0</v>
      </c>
    </row>
    <row r="13" customFormat="false" ht="15" hidden="false" customHeight="false" outlineLevel="0" collapsed="false">
      <c r="A13" s="13"/>
      <c r="B13" s="15"/>
      <c r="C13" s="18" t="str">
        <f aca="false">IF(B13="","",B13/SUM($B$5:$B$14))</f>
        <v/>
      </c>
      <c r="D13" s="19" t="str">
        <f aca="false">IF(A13="","",IFERROR(INDEX('Matérias-Primas'!$D$5:$D$45,MATCH(A13,'Matérias-Primas'!$A$5:$A$45,0)),0))</f>
        <v/>
      </c>
      <c r="E13" s="20" t="n">
        <f aca="false">IF(A13="",0,C13*IFERROR(INDEX('Matérias-Primas'!$F$5:$F$45,MATCH(A13,'Matérias-Primas'!$A$5:$A$45,0)),0))</f>
        <v>0</v>
      </c>
      <c r="F13" s="20" t="n">
        <f aca="false">IF(A13="",0,C13*IFERROR(INDEX('Matérias-Primas'!$G$5:$G$45,MATCH(A13,'Matérias-Primas'!$A$5:$A$45,0)),0))</f>
        <v>0</v>
      </c>
      <c r="G13" s="20" t="n">
        <f aca="false">IF(A13="",0,C13*IFERROR(INDEX('Matérias-Primas'!$H$5:$H$45,MATCH(A13,'Matérias-Primas'!$A$5:$A$45,0)),0))</f>
        <v>0</v>
      </c>
      <c r="H13" s="20" t="n">
        <f aca="false">IF(A13="",0,C13*IFERROR(INDEX('Matérias-Primas'!$I$5:$I$45,MATCH(A13,'Matérias-Primas'!$A$5:$A$45,0)),0))</f>
        <v>0</v>
      </c>
      <c r="I13" s="20" t="n">
        <f aca="false">IF(A13="",0,C13*IFERROR(INDEX('Matérias-Primas'!$J$5:$J$45,MATCH(A13,'Matérias-Primas'!$A$5:$A$45,0)),0))</f>
        <v>0</v>
      </c>
      <c r="J13" s="20" t="n">
        <f aca="false">IF(A13="",0,C13*IFERROR(INDEX('Matérias-Primas'!$K$5:$K$45,MATCH(A13,'Matérias-Primas'!$A$5:$A$45,0)),0))</f>
        <v>0</v>
      </c>
      <c r="K13" s="20" t="n">
        <f aca="false">IF(A13="",0,C13*IFERROR(INDEX('Matérias-Primas'!$L$5:$L$45,MATCH(A13,'Matérias-Primas'!$A$5:$A$45,0)),0))</f>
        <v>0</v>
      </c>
      <c r="L13" s="20" t="n">
        <f aca="false">IF(A13="",0,C13*IFERROR(INDEX('Matérias-Primas'!$M$5:$M$45,MATCH(A13,'Matérias-Primas'!$A$5:$A$45,0)),0))</f>
        <v>0</v>
      </c>
      <c r="M13" s="20" t="n">
        <f aca="false">IF(A13="",0,C13*IFERROR(INDEX('Matérias-Primas'!$N$5:$N$45,MATCH(A13,'Matérias-Primas'!$A$5:$A$45,0)),0))</f>
        <v>0</v>
      </c>
      <c r="N13" s="20" t="n">
        <f aca="false">IF(A13="",0,C13*IFERROR(INDEX('Matérias-Primas'!$O$5:$O$45,MATCH(A13,'Matérias-Primas'!$A$5:$A$45,0)),0))</f>
        <v>0</v>
      </c>
      <c r="O13" s="20" t="n">
        <f aca="false">IF(A13="",0,C13*IFERROR(INDEX('Matérias-Primas'!$P$5:$P$45,MATCH(A13,'Matérias-Primas'!$A$5:$A$45,0)),0))</f>
        <v>0</v>
      </c>
      <c r="P13" s="20" t="n">
        <f aca="false">IF(A13="",0,C13*IFERROR(INDEX('Matérias-Primas'!$Q$5:$Q$45,MATCH(A13,'Matérias-Primas'!$A$5:$A$45,0)),0))</f>
        <v>0</v>
      </c>
      <c r="Q13" s="20" t="n">
        <f aca="false">IF(A13="",0,C13*IFERROR(INDEX('Matérias-Primas'!$R$5:$R$45,MATCH(A13,'Matérias-Primas'!$A$5:$A$45,0)),0))</f>
        <v>0</v>
      </c>
    </row>
    <row r="14" customFormat="false" ht="15" hidden="false" customHeight="false" outlineLevel="0" collapsed="false">
      <c r="A14" s="13"/>
      <c r="B14" s="15"/>
      <c r="C14" s="18" t="str">
        <f aca="false">IF(B14="","",B14/SUM($B$5:$B$14))</f>
        <v/>
      </c>
      <c r="D14" s="19" t="str">
        <f aca="false">IF(A14="","",IFERROR(INDEX('Matérias-Primas'!$D$5:$D$45,MATCH(A14,'Matérias-Primas'!$A$5:$A$45,0)),0))</f>
        <v/>
      </c>
      <c r="E14" s="20" t="n">
        <f aca="false">IF(A14="",0,C14*IFERROR(INDEX('Matérias-Primas'!$F$5:$F$45,MATCH(A14,'Matérias-Primas'!$A$5:$A$45,0)),0))</f>
        <v>0</v>
      </c>
      <c r="F14" s="20" t="n">
        <f aca="false">IF(A14="",0,C14*IFERROR(INDEX('Matérias-Primas'!$G$5:$G$45,MATCH(A14,'Matérias-Primas'!$A$5:$A$45,0)),0))</f>
        <v>0</v>
      </c>
      <c r="G14" s="20" t="n">
        <f aca="false">IF(A14="",0,C14*IFERROR(INDEX('Matérias-Primas'!$H$5:$H$45,MATCH(A14,'Matérias-Primas'!$A$5:$A$45,0)),0))</f>
        <v>0</v>
      </c>
      <c r="H14" s="20" t="n">
        <f aca="false">IF(A14="",0,C14*IFERROR(INDEX('Matérias-Primas'!$I$5:$I$45,MATCH(A14,'Matérias-Primas'!$A$5:$A$45,0)),0))</f>
        <v>0</v>
      </c>
      <c r="I14" s="20" t="n">
        <f aca="false">IF(A14="",0,C14*IFERROR(INDEX('Matérias-Primas'!$J$5:$J$45,MATCH(A14,'Matérias-Primas'!$A$5:$A$45,0)),0))</f>
        <v>0</v>
      </c>
      <c r="J14" s="20" t="n">
        <f aca="false">IF(A14="",0,C14*IFERROR(INDEX('Matérias-Primas'!$K$5:$K$45,MATCH(A14,'Matérias-Primas'!$A$5:$A$45,0)),0))</f>
        <v>0</v>
      </c>
      <c r="K14" s="20" t="n">
        <f aca="false">IF(A14="",0,C14*IFERROR(INDEX('Matérias-Primas'!$L$5:$L$45,MATCH(A14,'Matérias-Primas'!$A$5:$A$45,0)),0))</f>
        <v>0</v>
      </c>
      <c r="L14" s="20" t="n">
        <f aca="false">IF(A14="",0,C14*IFERROR(INDEX('Matérias-Primas'!$M$5:$M$45,MATCH(A14,'Matérias-Primas'!$A$5:$A$45,0)),0))</f>
        <v>0</v>
      </c>
      <c r="M14" s="20" t="n">
        <f aca="false">IF(A14="",0,C14*IFERROR(INDEX('Matérias-Primas'!$N$5:$N$45,MATCH(A14,'Matérias-Primas'!$A$5:$A$45,0)),0))</f>
        <v>0</v>
      </c>
      <c r="N14" s="20" t="n">
        <f aca="false">IF(A14="",0,C14*IFERROR(INDEX('Matérias-Primas'!$O$5:$O$45,MATCH(A14,'Matérias-Primas'!$A$5:$A$45,0)),0))</f>
        <v>0</v>
      </c>
      <c r="O14" s="20" t="n">
        <f aca="false">IF(A14="",0,C14*IFERROR(INDEX('Matérias-Primas'!$P$5:$P$45,MATCH(A14,'Matérias-Primas'!$A$5:$A$45,0)),0))</f>
        <v>0</v>
      </c>
      <c r="P14" s="20" t="n">
        <f aca="false">IF(A14="",0,C14*IFERROR(INDEX('Matérias-Primas'!$Q$5:$Q$45,MATCH(A14,'Matérias-Primas'!$A$5:$A$45,0)),0))</f>
        <v>0</v>
      </c>
      <c r="Q14" s="20" t="n">
        <f aca="false">IF(A14="",0,C14*IFERROR(INDEX('Matérias-Primas'!$R$5:$R$45,MATCH(A14,'Matérias-Primas'!$A$5:$A$45,0)),0))</f>
        <v>0</v>
      </c>
    </row>
    <row r="15" customFormat="false" ht="15" hidden="false" customHeight="false" outlineLevel="0" collapsed="false">
      <c r="A15" s="5" t="s">
        <v>106</v>
      </c>
      <c r="B15" s="21" t="n">
        <f aca="false">SUM(B5:B14)</f>
        <v>100</v>
      </c>
      <c r="C15" s="22" t="n">
        <f aca="false">SUM(C5:C14)</f>
        <v>1</v>
      </c>
      <c r="D15" s="2"/>
      <c r="E15" s="23" t="n">
        <f aca="false">SUM(E5:E14)</f>
        <v>57.944</v>
      </c>
      <c r="F15" s="23" t="n">
        <f aca="false">SUM(F5:F14)</f>
        <v>9.625</v>
      </c>
      <c r="G15" s="23" t="n">
        <f aca="false">SUM(G5:G14)</f>
        <v>6.93</v>
      </c>
      <c r="H15" s="23" t="n">
        <f aca="false">SUM(H5:H14)</f>
        <v>3.69</v>
      </c>
      <c r="I15" s="23" t="n">
        <f aca="false">SUM(I5:I14)</f>
        <v>2.2</v>
      </c>
      <c r="J15" s="23" t="n">
        <f aca="false">SUM(J5:J14)</f>
        <v>0</v>
      </c>
      <c r="K15" s="23" t="n">
        <f aca="false">SUM(K5:K14)</f>
        <v>9.451</v>
      </c>
      <c r="L15" s="23" t="n">
        <f aca="false">SUM(L5:L14)</f>
        <v>0</v>
      </c>
      <c r="M15" s="23" t="n">
        <f aca="false">SUM(M5:M14)</f>
        <v>5.616</v>
      </c>
      <c r="N15" s="23" t="n">
        <f aca="false">SUM(N5:N14)</f>
        <v>0</v>
      </c>
      <c r="O15" s="23" t="n">
        <f aca="false">SUM(O5:O14)</f>
        <v>0</v>
      </c>
      <c r="P15" s="23" t="n">
        <f aca="false">SUM(P5:P14)</f>
        <v>0.035</v>
      </c>
      <c r="Q15" s="23" t="n">
        <f aca="false">SUM(Q5:Q14)</f>
        <v>0</v>
      </c>
    </row>
    <row r="16" customFormat="false" ht="15" hidden="false" customHeight="false" outlineLevel="0" collapsed="false">
      <c r="A16" s="5" t="s">
        <v>107</v>
      </c>
      <c r="B16" s="2"/>
      <c r="C16" s="2"/>
      <c r="D16" s="2"/>
      <c r="E16" s="24" t="n">
        <f aca="false">'Matérias-Primas'!F3</f>
        <v>60.08</v>
      </c>
      <c r="F16" s="24" t="n">
        <f aca="false">'Matérias-Primas'!G3</f>
        <v>101.96</v>
      </c>
      <c r="G16" s="24" t="n">
        <f aca="false">'Matérias-Primas'!H3</f>
        <v>69.62</v>
      </c>
      <c r="H16" s="24" t="n">
        <f aca="false">'Matérias-Primas'!I3</f>
        <v>61.98</v>
      </c>
      <c r="I16" s="24" t="n">
        <f aca="false">'Matérias-Primas'!J3</f>
        <v>94.2</v>
      </c>
      <c r="J16" s="24" t="n">
        <f aca="false">'Matérias-Primas'!K3</f>
        <v>29.88</v>
      </c>
      <c r="K16" s="24" t="n">
        <f aca="false">'Matérias-Primas'!L3</f>
        <v>56.08</v>
      </c>
      <c r="L16" s="24" t="n">
        <f aca="false">'Matérias-Primas'!M3</f>
        <v>40.3</v>
      </c>
      <c r="M16" s="24" t="n">
        <f aca="false">'Matérias-Primas'!N3</f>
        <v>103.62</v>
      </c>
      <c r="N16" s="24" t="n">
        <f aca="false">'Matérias-Primas'!O3</f>
        <v>81.38</v>
      </c>
      <c r="O16" s="24" t="n">
        <f aca="false">'Matérias-Primas'!P3</f>
        <v>123.22</v>
      </c>
      <c r="P16" s="24" t="n">
        <f aca="false">'Matérias-Primas'!Q3</f>
        <v>159.69</v>
      </c>
      <c r="Q16" s="24" t="n">
        <f aca="false">'Matérias-Primas'!R3</f>
        <v>79.87</v>
      </c>
    </row>
    <row r="17" customFormat="false" ht="15" hidden="false" customHeight="false" outlineLevel="0" collapsed="false">
      <c r="A17" s="5" t="s">
        <v>108</v>
      </c>
      <c r="B17" s="2"/>
      <c r="C17" s="3" t="s">
        <v>109</v>
      </c>
      <c r="D17" s="25" t="n">
        <f aca="false">H17+I17+J17+K17+L17+M17+N17</f>
        <v>0.305615034139584</v>
      </c>
      <c r="E17" s="25" t="n">
        <f aca="false">E15/E16</f>
        <v>0.964447403462051</v>
      </c>
      <c r="F17" s="25" t="n">
        <f aca="false">F15/F16</f>
        <v>0.094399764613574</v>
      </c>
      <c r="G17" s="25" t="n">
        <f aca="false">G15/G16</f>
        <v>0.0995403619649526</v>
      </c>
      <c r="H17" s="25" t="n">
        <f aca="false">H15/H16</f>
        <v>0.0595353339787028</v>
      </c>
      <c r="I17" s="25" t="n">
        <f aca="false">I15/I16</f>
        <v>0.0233545647558386</v>
      </c>
      <c r="J17" s="25" t="n">
        <f aca="false">J15/J16</f>
        <v>0</v>
      </c>
      <c r="K17" s="25" t="n">
        <f aca="false">K15/K16</f>
        <v>0.168527104136947</v>
      </c>
      <c r="L17" s="25" t="n">
        <f aca="false">L15/L16</f>
        <v>0</v>
      </c>
      <c r="M17" s="25" t="n">
        <f aca="false">M15/M16</f>
        <v>0.054198031268095</v>
      </c>
      <c r="N17" s="25" t="n">
        <f aca="false">N15/N16</f>
        <v>0</v>
      </c>
      <c r="O17" s="25" t="n">
        <f aca="false">O15/O16</f>
        <v>0</v>
      </c>
      <c r="P17" s="25" t="n">
        <f aca="false">P15/P16</f>
        <v>0.000219174650886092</v>
      </c>
      <c r="Q17" s="25" t="n">
        <f aca="false">Q15/Q16</f>
        <v>0</v>
      </c>
    </row>
    <row r="18" customFormat="false" ht="15" hidden="false" customHeight="false" outlineLevel="0" collapsed="false">
      <c r="A18" s="5" t="s">
        <v>110</v>
      </c>
      <c r="B18" s="2"/>
      <c r="C18" s="2"/>
      <c r="D18" s="2"/>
      <c r="E18" s="26" t="n">
        <f aca="false">IF($D$17=0,0,E17/$D$17)</f>
        <v>3.15575902925495</v>
      </c>
      <c r="F18" s="26" t="n">
        <f aca="false">IF($D$17=0,0,F17/$D$17)</f>
        <v>0.308884557591688</v>
      </c>
      <c r="G18" s="26" t="n">
        <f aca="false">IF($D$17=0,0,G17/$D$17)</f>
        <v>0.3257050565107</v>
      </c>
      <c r="H18" s="26" t="n">
        <f aca="false">IF($D$17=0,0,H17/$D$17)</f>
        <v>0.19480499101203</v>
      </c>
      <c r="I18" s="26" t="n">
        <f aca="false">IF($D$17=0,0,I17/$D$17)</f>
        <v>0.0764182456585951</v>
      </c>
      <c r="J18" s="26" t="n">
        <f aca="false">IF($D$17=0,0,J17/$D$17)</f>
        <v>0</v>
      </c>
      <c r="K18" s="26" t="n">
        <f aca="false">IF($D$17=0,0,K17/$D$17)</f>
        <v>0.551435908941495</v>
      </c>
      <c r="L18" s="26" t="n">
        <f aca="false">IF($D$17=0,0,L17/$D$17)</f>
        <v>0</v>
      </c>
      <c r="M18" s="26" t="n">
        <f aca="false">IF($D$17=0,0,M17/$D$17)</f>
        <v>0.17734085438788</v>
      </c>
      <c r="N18" s="26" t="n">
        <f aca="false">IF($D$17=0,0,N17/$D$17)</f>
        <v>0</v>
      </c>
      <c r="O18" s="26" t="n">
        <f aca="false">IF($D$17=0,0,O17/$D$17)</f>
        <v>0</v>
      </c>
      <c r="P18" s="26" t="n">
        <f aca="false">IF($D$17=0,0,P17/$D$17)</f>
        <v>0.000717159257243831</v>
      </c>
      <c r="Q18" s="26" t="n">
        <f aca="false">IF($D$17=0,0,Q17/$D$17)</f>
        <v>0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15" hidden="false" customHeight="false" outlineLevel="0" collapsed="false">
      <c r="A20" s="4" t="s">
        <v>111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customFormat="false" ht="15" hidden="false" customHeight="false" outlineLevel="0" collapsed="false">
      <c r="A21" s="12" t="s">
        <v>112</v>
      </c>
      <c r="B21" s="12" t="s">
        <v>113</v>
      </c>
      <c r="C21" s="12" t="s">
        <v>114</v>
      </c>
      <c r="D21" s="12" t="s">
        <v>115</v>
      </c>
      <c r="E21" s="12" t="s">
        <v>116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customFormat="false" ht="15" hidden="false" customHeight="false" outlineLevel="0" collapsed="false">
      <c r="A22" s="27" t="s">
        <v>117</v>
      </c>
      <c r="B22" s="28" t="n">
        <f aca="false">E18</f>
        <v>3.15575902925495</v>
      </c>
      <c r="C22" s="29" t="n">
        <v>2.8</v>
      </c>
      <c r="D22" s="29" t="n">
        <v>3.6</v>
      </c>
      <c r="E22" s="30" t="str">
        <f aca="false">IF(AND(B22&gt;=C22,B22&lt;=D22),"OK","Ajustar")</f>
        <v>OK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customFormat="false" ht="15" hidden="false" customHeight="false" outlineLevel="0" collapsed="false">
      <c r="A23" s="27" t="s">
        <v>118</v>
      </c>
      <c r="B23" s="28" t="n">
        <f aca="false">F18</f>
        <v>0.308884557591688</v>
      </c>
      <c r="C23" s="29" t="n">
        <v>0.25</v>
      </c>
      <c r="D23" s="29" t="n">
        <v>0.35</v>
      </c>
      <c r="E23" s="30" t="str">
        <f aca="false">IF(AND(B23&gt;=C23,B23&lt;=D23),"OK","Ajustar")</f>
        <v>OK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customFormat="false" ht="15" hidden="false" customHeight="false" outlineLevel="0" collapsed="false">
      <c r="A24" s="27" t="s">
        <v>119</v>
      </c>
      <c r="B24" s="28" t="n">
        <f aca="false">G18</f>
        <v>0.3257050565107</v>
      </c>
      <c r="C24" s="29" t="n">
        <v>0.2</v>
      </c>
      <c r="D24" s="29" t="n">
        <v>0.4</v>
      </c>
      <c r="E24" s="30" t="str">
        <f aca="false">IF(AND(B24&gt;=C24,B24&lt;=D24),"OK","Ajustar")</f>
        <v>OK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customFormat="false" ht="15" hidden="false" customHeight="false" outlineLevel="0" collapsed="false">
      <c r="A25" s="27" t="s">
        <v>120</v>
      </c>
      <c r="B25" s="28" t="n">
        <f aca="false">IF(F18=0,0,E18/F18)</f>
        <v>10.2166293254016</v>
      </c>
      <c r="C25" s="29" t="n">
        <v>8</v>
      </c>
      <c r="D25" s="29" t="n">
        <v>11</v>
      </c>
      <c r="E25" s="30" t="str">
        <f aca="false">IF(AND(B25&gt;=C25,B25&lt;=D25),"OK","Ajustar")</f>
        <v>OK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customFormat="false" ht="15" hidden="false" customHeight="false" outlineLevel="0" collapsed="false">
      <c r="A27" s="5" t="s">
        <v>121</v>
      </c>
      <c r="B27" s="31" t="n">
        <f aca="false">SUMPRODUCT(C5:C14,D5:D14)</f>
        <v>9.335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customFormat="false" ht="15" hidden="false" customHeight="false" outlineLevel="0" collapsed="false">
      <c r="A28" s="3" t="s">
        <v>122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</sheetData>
  <conditionalFormatting sqref="E22:E2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"Ajustar"</formula>
    </cfRule>
  </conditionalFormatting>
  <dataValidations count="1">
    <dataValidation allowBlank="true" errorStyle="stop" operator="between" showDropDown="false" showErrorMessage="false" showInputMessage="false" sqref="A5:A14" type="list">
      <formula1>'Matérias-Primas'!$A$5:$A$45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7" min="2" style="0" width="11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3" t="s">
        <v>90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5.05" hidden="false" customHeight="false" outlineLevel="0" collapsed="false">
      <c r="A4" s="12" t="s">
        <v>34</v>
      </c>
      <c r="B4" s="12" t="s">
        <v>91</v>
      </c>
      <c r="C4" s="12" t="s">
        <v>92</v>
      </c>
      <c r="D4" s="12" t="s">
        <v>37</v>
      </c>
      <c r="E4" s="12" t="s">
        <v>93</v>
      </c>
      <c r="F4" s="12" t="s">
        <v>94</v>
      </c>
      <c r="G4" s="12" t="s">
        <v>95</v>
      </c>
      <c r="H4" s="12" t="s">
        <v>96</v>
      </c>
      <c r="I4" s="12" t="s">
        <v>97</v>
      </c>
      <c r="J4" s="12" t="s">
        <v>98</v>
      </c>
      <c r="K4" s="12" t="s">
        <v>99</v>
      </c>
      <c r="L4" s="12" t="s">
        <v>100</v>
      </c>
      <c r="M4" s="12" t="s">
        <v>101</v>
      </c>
      <c r="N4" s="12" t="s">
        <v>102</v>
      </c>
      <c r="O4" s="12" t="s">
        <v>103</v>
      </c>
      <c r="P4" s="12" t="s">
        <v>104</v>
      </c>
      <c r="Q4" s="12" t="s">
        <v>105</v>
      </c>
    </row>
    <row r="5" customFormat="false" ht="15" hidden="false" customHeight="false" outlineLevel="0" collapsed="false">
      <c r="A5" s="13" t="s">
        <v>53</v>
      </c>
      <c r="B5" s="15" t="n">
        <v>35</v>
      </c>
      <c r="C5" s="18" t="n">
        <f aca="false">IF(B5="","",B5/SUM($B$5:$B$14))</f>
        <v>0.35</v>
      </c>
      <c r="D5" s="19" t="n">
        <f aca="false">IF(A5="","",IFERROR(INDEX('Matérias-Primas'!$D$5:$D$45,MATCH(A5,'Matérias-Primas'!$A$5:$A$45,0)),0))</f>
        <v>3.5</v>
      </c>
      <c r="E5" s="20" t="n">
        <f aca="false">IF(A5="",0,C5*IFERROR(INDEX('Matérias-Primas'!$F$5:$F$45,MATCH(A5,'Matérias-Primas'!$A$5:$A$45,0)),0))</f>
        <v>23.45</v>
      </c>
      <c r="F5" s="20" t="n">
        <f aca="false">IF(A5="",0,C5*IFERROR(INDEX('Matérias-Primas'!$G$5:$G$45,MATCH(A5,'Matérias-Primas'!$A$5:$A$45,0)),0))</f>
        <v>6.475</v>
      </c>
      <c r="G5" s="20" t="n">
        <f aca="false">IF(A5="",0,C5*IFERROR(INDEX('Matérias-Primas'!$H$5:$H$45,MATCH(A5,'Matérias-Primas'!$A$5:$A$45,0)),0))</f>
        <v>0</v>
      </c>
      <c r="H5" s="20" t="n">
        <f aca="false">IF(A5="",0,C5*IFERROR(INDEX('Matérias-Primas'!$I$5:$I$45,MATCH(A5,'Matérias-Primas'!$A$5:$A$45,0)),0))</f>
        <v>1.05</v>
      </c>
      <c r="I5" s="20" t="n">
        <f aca="false">IF(A5="",0,C5*IFERROR(INDEX('Matérias-Primas'!$J$5:$J$45,MATCH(A5,'Matérias-Primas'!$A$5:$A$45,0)),0))</f>
        <v>3.85</v>
      </c>
      <c r="J5" s="20" t="n">
        <f aca="false">IF(A5="",0,C5*IFERROR(INDEX('Matérias-Primas'!$K$5:$K$45,MATCH(A5,'Matérias-Primas'!$A$5:$A$45,0)),0))</f>
        <v>0</v>
      </c>
      <c r="K5" s="20" t="n">
        <f aca="false">IF(A5="",0,C5*IFERROR(INDEX('Matérias-Primas'!$L$5:$L$45,MATCH(A5,'Matérias-Primas'!$A$5:$A$45,0)),0))</f>
        <v>0.07</v>
      </c>
      <c r="L5" s="20" t="n">
        <f aca="false">IF(A5="",0,C5*IFERROR(INDEX('Matérias-Primas'!$M$5:$M$45,MATCH(A5,'Matérias-Primas'!$A$5:$A$45,0)),0))</f>
        <v>0</v>
      </c>
      <c r="M5" s="20" t="n">
        <f aca="false">IF(A5="",0,C5*IFERROR(INDEX('Matérias-Primas'!$N$5:$N$45,MATCH(A5,'Matérias-Primas'!$A$5:$A$45,0)),0))</f>
        <v>0</v>
      </c>
      <c r="N5" s="20" t="n">
        <f aca="false">IF(A5="",0,C5*IFERROR(INDEX('Matérias-Primas'!$O$5:$O$45,MATCH(A5,'Matérias-Primas'!$A$5:$A$45,0)),0))</f>
        <v>0</v>
      </c>
      <c r="O5" s="20" t="n">
        <f aca="false">IF(A5="",0,C5*IFERROR(INDEX('Matérias-Primas'!$P$5:$P$45,MATCH(A5,'Matérias-Primas'!$A$5:$A$45,0)),0))</f>
        <v>0</v>
      </c>
      <c r="P5" s="20" t="n">
        <f aca="false">IF(A5="",0,C5*IFERROR(INDEX('Matérias-Primas'!$Q$5:$Q$45,MATCH(A5,'Matérias-Primas'!$A$5:$A$45,0)),0))</f>
        <v>0.035</v>
      </c>
      <c r="Q5" s="20" t="n">
        <f aca="false">IF(A5="",0,C5*IFERROR(INDEX('Matérias-Primas'!$R$5:$R$45,MATCH(A5,'Matérias-Primas'!$A$5:$A$45,0)),0))</f>
        <v>0</v>
      </c>
    </row>
    <row r="6" customFormat="false" ht="15" hidden="false" customHeight="false" outlineLevel="0" collapsed="false">
      <c r="A6" s="13" t="s">
        <v>66</v>
      </c>
      <c r="B6" s="15" t="n">
        <v>12</v>
      </c>
      <c r="C6" s="18" t="n">
        <f aca="false">IF(B6="","",B6/SUM($B$5:$B$14))</f>
        <v>0.12</v>
      </c>
      <c r="D6" s="19" t="n">
        <f aca="false">IF(A6="","",IFERROR(INDEX('Matérias-Primas'!$D$5:$D$45,MATCH(A6,'Matérias-Primas'!$A$5:$A$45,0)),0))</f>
        <v>15</v>
      </c>
      <c r="E6" s="20" t="n">
        <f aca="false">IF(A6="",0,C6*IFERROR(INDEX('Matérias-Primas'!$F$5:$F$45,MATCH(A6,'Matérias-Primas'!$A$5:$A$45,0)),0))</f>
        <v>5.58</v>
      </c>
      <c r="F6" s="20" t="n">
        <f aca="false">IF(A6="",0,C6*IFERROR(INDEX('Matérias-Primas'!$G$5:$G$45,MATCH(A6,'Matérias-Primas'!$A$5:$A$45,0)),0))</f>
        <v>0</v>
      </c>
      <c r="G6" s="20" t="n">
        <f aca="false">IF(A6="",0,C6*IFERROR(INDEX('Matérias-Primas'!$H$5:$H$45,MATCH(A6,'Matérias-Primas'!$A$5:$A$45,0)),0))</f>
        <v>2.772</v>
      </c>
      <c r="H6" s="20" t="n">
        <f aca="false">IF(A6="",0,C6*IFERROR(INDEX('Matérias-Primas'!$I$5:$I$45,MATCH(A6,'Matérias-Primas'!$A$5:$A$45,0)),0))</f>
        <v>1.236</v>
      </c>
      <c r="I6" s="20" t="n">
        <f aca="false">IF(A6="",0,C6*IFERROR(INDEX('Matérias-Primas'!$J$5:$J$45,MATCH(A6,'Matérias-Primas'!$A$5:$A$45,0)),0))</f>
        <v>0</v>
      </c>
      <c r="J6" s="20" t="n">
        <f aca="false">IF(A6="",0,C6*IFERROR(INDEX('Matérias-Primas'!$K$5:$K$45,MATCH(A6,'Matérias-Primas'!$A$5:$A$45,0)),0))</f>
        <v>0</v>
      </c>
      <c r="K6" s="20" t="n">
        <f aca="false">IF(A6="",0,C6*IFERROR(INDEX('Matérias-Primas'!$L$5:$L$45,MATCH(A6,'Matérias-Primas'!$A$5:$A$45,0)),0))</f>
        <v>2.412</v>
      </c>
      <c r="L6" s="20" t="n">
        <f aca="false">IF(A6="",0,C6*IFERROR(INDEX('Matérias-Primas'!$M$5:$M$45,MATCH(A6,'Matérias-Primas'!$A$5:$A$45,0)),0))</f>
        <v>0</v>
      </c>
      <c r="M6" s="20" t="n">
        <f aca="false">IF(A6="",0,C6*IFERROR(INDEX('Matérias-Primas'!$N$5:$N$45,MATCH(A6,'Matérias-Primas'!$A$5:$A$45,0)),0))</f>
        <v>0</v>
      </c>
      <c r="N6" s="20" t="n">
        <f aca="false">IF(A6="",0,C6*IFERROR(INDEX('Matérias-Primas'!$O$5:$O$45,MATCH(A6,'Matérias-Primas'!$A$5:$A$45,0)),0))</f>
        <v>0</v>
      </c>
      <c r="O6" s="20" t="n">
        <f aca="false">IF(A6="",0,C6*IFERROR(INDEX('Matérias-Primas'!$P$5:$P$45,MATCH(A6,'Matérias-Primas'!$A$5:$A$45,0)),0))</f>
        <v>0</v>
      </c>
      <c r="P6" s="20" t="n">
        <f aca="false">IF(A6="",0,C6*IFERROR(INDEX('Matérias-Primas'!$Q$5:$Q$45,MATCH(A6,'Matérias-Primas'!$A$5:$A$45,0)),0))</f>
        <v>0</v>
      </c>
      <c r="Q6" s="20" t="n">
        <f aca="false">IF(A6="",0,C6*IFERROR(INDEX('Matérias-Primas'!$R$5:$R$45,MATCH(A6,'Matérias-Primas'!$A$5:$A$45,0)),0))</f>
        <v>0</v>
      </c>
    </row>
    <row r="7" customFormat="false" ht="15" hidden="false" customHeight="false" outlineLevel="0" collapsed="false">
      <c r="A7" s="13" t="s">
        <v>60</v>
      </c>
      <c r="B7" s="15" t="n">
        <v>18</v>
      </c>
      <c r="C7" s="18" t="n">
        <f aca="false">IF(B7="","",B7/SUM($B$5:$B$14))</f>
        <v>0.18</v>
      </c>
      <c r="D7" s="19" t="n">
        <f aca="false">IF(A7="","",IFERROR(INDEX('Matérias-Primas'!$D$5:$D$45,MATCH(A7,'Matérias-Primas'!$A$5:$A$45,0)),0))</f>
        <v>8</v>
      </c>
      <c r="E7" s="20" t="n">
        <f aca="false">IF(A7="",0,C7*IFERROR(INDEX('Matérias-Primas'!$F$5:$F$45,MATCH(A7,'Matérias-Primas'!$A$5:$A$45,0)),0))</f>
        <v>9.306</v>
      </c>
      <c r="F7" s="20" t="n">
        <f aca="false">IF(A7="",0,C7*IFERROR(INDEX('Matérias-Primas'!$G$5:$G$45,MATCH(A7,'Matérias-Primas'!$A$5:$A$45,0)),0))</f>
        <v>0</v>
      </c>
      <c r="G7" s="20" t="n">
        <f aca="false">IF(A7="",0,C7*IFERROR(INDEX('Matérias-Primas'!$H$5:$H$45,MATCH(A7,'Matérias-Primas'!$A$5:$A$45,0)),0))</f>
        <v>0</v>
      </c>
      <c r="H7" s="20" t="n">
        <f aca="false">IF(A7="",0,C7*IFERROR(INDEX('Matérias-Primas'!$I$5:$I$45,MATCH(A7,'Matérias-Primas'!$A$5:$A$45,0)),0))</f>
        <v>0</v>
      </c>
      <c r="I7" s="20" t="n">
        <f aca="false">IF(A7="",0,C7*IFERROR(INDEX('Matérias-Primas'!$J$5:$J$45,MATCH(A7,'Matérias-Primas'!$A$5:$A$45,0)),0))</f>
        <v>0</v>
      </c>
      <c r="J7" s="20" t="n">
        <f aca="false">IF(A7="",0,C7*IFERROR(INDEX('Matérias-Primas'!$K$5:$K$45,MATCH(A7,'Matérias-Primas'!$A$5:$A$45,0)),0))</f>
        <v>0</v>
      </c>
      <c r="K7" s="20" t="n">
        <f aca="false">IF(A7="",0,C7*IFERROR(INDEX('Matérias-Primas'!$L$5:$L$45,MATCH(A7,'Matérias-Primas'!$A$5:$A$45,0)),0))</f>
        <v>8.694</v>
      </c>
      <c r="L7" s="20" t="n">
        <f aca="false">IF(A7="",0,C7*IFERROR(INDEX('Matérias-Primas'!$M$5:$M$45,MATCH(A7,'Matérias-Primas'!$A$5:$A$45,0)),0))</f>
        <v>0</v>
      </c>
      <c r="M7" s="20" t="n">
        <f aca="false">IF(A7="",0,C7*IFERROR(INDEX('Matérias-Primas'!$N$5:$N$45,MATCH(A7,'Matérias-Primas'!$A$5:$A$45,0)),0))</f>
        <v>0</v>
      </c>
      <c r="N7" s="20" t="n">
        <f aca="false">IF(A7="",0,C7*IFERROR(INDEX('Matérias-Primas'!$O$5:$O$45,MATCH(A7,'Matérias-Primas'!$A$5:$A$45,0)),0))</f>
        <v>0</v>
      </c>
      <c r="O7" s="20" t="n">
        <f aca="false">IF(A7="",0,C7*IFERROR(INDEX('Matérias-Primas'!$P$5:$P$45,MATCH(A7,'Matérias-Primas'!$A$5:$A$45,0)),0))</f>
        <v>0</v>
      </c>
      <c r="P7" s="20" t="n">
        <f aca="false">IF(A7="",0,C7*IFERROR(INDEX('Matérias-Primas'!$Q$5:$Q$45,MATCH(A7,'Matérias-Primas'!$A$5:$A$45,0)),0))</f>
        <v>0</v>
      </c>
      <c r="Q7" s="20" t="n">
        <f aca="false">IF(A7="",0,C7*IFERROR(INDEX('Matérias-Primas'!$R$5:$R$45,MATCH(A7,'Matérias-Primas'!$A$5:$A$45,0)),0))</f>
        <v>0</v>
      </c>
    </row>
    <row r="8" customFormat="false" ht="15" hidden="false" customHeight="false" outlineLevel="0" collapsed="false">
      <c r="A8" s="13" t="s">
        <v>63</v>
      </c>
      <c r="B8" s="15" t="n">
        <v>5</v>
      </c>
      <c r="C8" s="18" t="n">
        <f aca="false">IF(B8="","",B8/SUM($B$5:$B$14))</f>
        <v>0.05</v>
      </c>
      <c r="D8" s="19" t="n">
        <f aca="false">IF(A8="","",IFERROR(INDEX('Matérias-Primas'!$D$5:$D$45,MATCH(A8,'Matérias-Primas'!$A$5:$A$45,0)),0))</f>
        <v>4</v>
      </c>
      <c r="E8" s="20" t="n">
        <f aca="false">IF(A8="",0,C8*IFERROR(INDEX('Matérias-Primas'!$F$5:$F$45,MATCH(A8,'Matérias-Primas'!$A$5:$A$45,0)),0))</f>
        <v>3.175</v>
      </c>
      <c r="F8" s="20" t="n">
        <f aca="false">IF(A8="",0,C8*IFERROR(INDEX('Matérias-Primas'!$G$5:$G$45,MATCH(A8,'Matérias-Primas'!$A$5:$A$45,0)),0))</f>
        <v>0</v>
      </c>
      <c r="G8" s="20" t="n">
        <f aca="false">IF(A8="",0,C8*IFERROR(INDEX('Matérias-Primas'!$H$5:$H$45,MATCH(A8,'Matérias-Primas'!$A$5:$A$45,0)),0))</f>
        <v>0</v>
      </c>
      <c r="H8" s="20" t="n">
        <f aca="false">IF(A8="",0,C8*IFERROR(INDEX('Matérias-Primas'!$I$5:$I$45,MATCH(A8,'Matérias-Primas'!$A$5:$A$45,0)),0))</f>
        <v>0</v>
      </c>
      <c r="I8" s="20" t="n">
        <f aca="false">IF(A8="",0,C8*IFERROR(INDEX('Matérias-Primas'!$J$5:$J$45,MATCH(A8,'Matérias-Primas'!$A$5:$A$45,0)),0))</f>
        <v>0</v>
      </c>
      <c r="J8" s="20" t="n">
        <f aca="false">IF(A8="",0,C8*IFERROR(INDEX('Matérias-Primas'!$K$5:$K$45,MATCH(A8,'Matérias-Primas'!$A$5:$A$45,0)),0))</f>
        <v>0</v>
      </c>
      <c r="K8" s="20" t="n">
        <f aca="false">IF(A8="",0,C8*IFERROR(INDEX('Matérias-Primas'!$L$5:$L$45,MATCH(A8,'Matérias-Primas'!$A$5:$A$45,0)),0))</f>
        <v>0</v>
      </c>
      <c r="L8" s="20" t="n">
        <f aca="false">IF(A8="",0,C8*IFERROR(INDEX('Matérias-Primas'!$M$5:$M$45,MATCH(A8,'Matérias-Primas'!$A$5:$A$45,0)),0))</f>
        <v>1.595</v>
      </c>
      <c r="M8" s="20" t="n">
        <f aca="false">IF(A8="",0,C8*IFERROR(INDEX('Matérias-Primas'!$N$5:$N$45,MATCH(A8,'Matérias-Primas'!$A$5:$A$45,0)),0))</f>
        <v>0</v>
      </c>
      <c r="N8" s="20" t="n">
        <f aca="false">IF(A8="",0,C8*IFERROR(INDEX('Matérias-Primas'!$O$5:$O$45,MATCH(A8,'Matérias-Primas'!$A$5:$A$45,0)),0))</f>
        <v>0</v>
      </c>
      <c r="O8" s="20" t="n">
        <f aca="false">IF(A8="",0,C8*IFERROR(INDEX('Matérias-Primas'!$P$5:$P$45,MATCH(A8,'Matérias-Primas'!$A$5:$A$45,0)),0))</f>
        <v>0</v>
      </c>
      <c r="P8" s="20" t="n">
        <f aca="false">IF(A8="",0,C8*IFERROR(INDEX('Matérias-Primas'!$Q$5:$Q$45,MATCH(A8,'Matérias-Primas'!$A$5:$A$45,0)),0))</f>
        <v>0</v>
      </c>
      <c r="Q8" s="20" t="n">
        <f aca="false">IF(A8="",0,C8*IFERROR(INDEX('Matérias-Primas'!$R$5:$R$45,MATCH(A8,'Matérias-Primas'!$A$5:$A$45,0)),0))</f>
        <v>0</v>
      </c>
    </row>
    <row r="9" customFormat="false" ht="15" hidden="false" customHeight="false" outlineLevel="0" collapsed="false">
      <c r="A9" s="13" t="s">
        <v>56</v>
      </c>
      <c r="B9" s="15" t="n">
        <v>10</v>
      </c>
      <c r="C9" s="18" t="n">
        <f aca="false">IF(B9="","",B9/SUM($B$5:$B$14))</f>
        <v>0.1</v>
      </c>
      <c r="D9" s="19" t="n">
        <f aca="false">IF(A9="","",IFERROR(INDEX('Matérias-Primas'!$D$5:$D$45,MATCH(A9,'Matérias-Primas'!$A$5:$A$45,0)),0))</f>
        <v>2.5</v>
      </c>
      <c r="E9" s="20" t="n">
        <f aca="false">IF(A9="",0,C9*IFERROR(INDEX('Matérias-Primas'!$F$5:$F$45,MATCH(A9,'Matérias-Primas'!$A$5:$A$45,0)),0))</f>
        <v>4.65</v>
      </c>
      <c r="F9" s="20" t="n">
        <f aca="false">IF(A9="",0,C9*IFERROR(INDEX('Matérias-Primas'!$G$5:$G$45,MATCH(A9,'Matérias-Primas'!$A$5:$A$45,0)),0))</f>
        <v>3.95</v>
      </c>
      <c r="G9" s="20" t="n">
        <f aca="false">IF(A9="",0,C9*IFERROR(INDEX('Matérias-Primas'!$H$5:$H$45,MATCH(A9,'Matérias-Primas'!$A$5:$A$45,0)),0))</f>
        <v>0</v>
      </c>
      <c r="H9" s="20" t="n">
        <f aca="false">IF(A9="",0,C9*IFERROR(INDEX('Matérias-Primas'!$I$5:$I$45,MATCH(A9,'Matérias-Primas'!$A$5:$A$45,0)),0))</f>
        <v>0</v>
      </c>
      <c r="I9" s="20" t="n">
        <f aca="false">IF(A9="",0,C9*IFERROR(INDEX('Matérias-Primas'!$J$5:$J$45,MATCH(A9,'Matérias-Primas'!$A$5:$A$45,0)),0))</f>
        <v>0</v>
      </c>
      <c r="J9" s="20" t="n">
        <f aca="false">IF(A9="",0,C9*IFERROR(INDEX('Matérias-Primas'!$K$5:$K$45,MATCH(A9,'Matérias-Primas'!$A$5:$A$45,0)),0))</f>
        <v>0</v>
      </c>
      <c r="K9" s="20" t="n">
        <f aca="false">IF(A9="",0,C9*IFERROR(INDEX('Matérias-Primas'!$L$5:$L$45,MATCH(A9,'Matérias-Primas'!$A$5:$A$45,0)),0))</f>
        <v>0</v>
      </c>
      <c r="L9" s="20" t="n">
        <f aca="false">IF(A9="",0,C9*IFERROR(INDEX('Matérias-Primas'!$M$5:$M$45,MATCH(A9,'Matérias-Primas'!$A$5:$A$45,0)),0))</f>
        <v>0</v>
      </c>
      <c r="M9" s="20" t="n">
        <f aca="false">IF(A9="",0,C9*IFERROR(INDEX('Matérias-Primas'!$N$5:$N$45,MATCH(A9,'Matérias-Primas'!$A$5:$A$45,0)),0))</f>
        <v>0</v>
      </c>
      <c r="N9" s="20" t="n">
        <f aca="false">IF(A9="",0,C9*IFERROR(INDEX('Matérias-Primas'!$O$5:$O$45,MATCH(A9,'Matérias-Primas'!$A$5:$A$45,0)),0))</f>
        <v>0</v>
      </c>
      <c r="O9" s="20" t="n">
        <f aca="false">IF(A9="",0,C9*IFERROR(INDEX('Matérias-Primas'!$P$5:$P$45,MATCH(A9,'Matérias-Primas'!$A$5:$A$45,0)),0))</f>
        <v>0</v>
      </c>
      <c r="P9" s="20" t="n">
        <f aca="false">IF(A9="",0,C9*IFERROR(INDEX('Matérias-Primas'!$Q$5:$Q$45,MATCH(A9,'Matérias-Primas'!$A$5:$A$45,0)),0))</f>
        <v>0.01</v>
      </c>
      <c r="Q9" s="20" t="n">
        <f aca="false">IF(A9="",0,C9*IFERROR(INDEX('Matérias-Primas'!$R$5:$R$45,MATCH(A9,'Matérias-Primas'!$A$5:$A$45,0)),0))</f>
        <v>0</v>
      </c>
    </row>
    <row r="10" customFormat="false" ht="15" hidden="false" customHeight="false" outlineLevel="0" collapsed="false">
      <c r="A10" s="13" t="s">
        <v>58</v>
      </c>
      <c r="B10" s="15" t="n">
        <v>20</v>
      </c>
      <c r="C10" s="18" t="n">
        <f aca="false">IF(B10="","",B10/SUM($B$5:$B$14))</f>
        <v>0.2</v>
      </c>
      <c r="D10" s="19" t="n">
        <f aca="false">IF(A10="","",IFERROR(INDEX('Matérias-Primas'!$D$5:$D$45,MATCH(A10,'Matérias-Primas'!$A$5:$A$45,0)),0))</f>
        <v>2</v>
      </c>
      <c r="E10" s="20" t="n">
        <f aca="false">IF(A10="",0,C10*IFERROR(INDEX('Matérias-Primas'!$F$5:$F$45,MATCH(A10,'Matérias-Primas'!$A$5:$A$45,0)),0))</f>
        <v>20</v>
      </c>
      <c r="F10" s="20" t="n">
        <f aca="false">IF(A10="",0,C10*IFERROR(INDEX('Matérias-Primas'!$G$5:$G$45,MATCH(A10,'Matérias-Primas'!$A$5:$A$45,0)),0))</f>
        <v>0</v>
      </c>
      <c r="G10" s="20" t="n">
        <f aca="false">IF(A10="",0,C10*IFERROR(INDEX('Matérias-Primas'!$H$5:$H$45,MATCH(A10,'Matérias-Primas'!$A$5:$A$45,0)),0))</f>
        <v>0</v>
      </c>
      <c r="H10" s="20" t="n">
        <f aca="false">IF(A10="",0,C10*IFERROR(INDEX('Matérias-Primas'!$I$5:$I$45,MATCH(A10,'Matérias-Primas'!$A$5:$A$45,0)),0))</f>
        <v>0</v>
      </c>
      <c r="I10" s="20" t="n">
        <f aca="false">IF(A10="",0,C10*IFERROR(INDEX('Matérias-Primas'!$J$5:$J$45,MATCH(A10,'Matérias-Primas'!$A$5:$A$45,0)),0))</f>
        <v>0</v>
      </c>
      <c r="J10" s="20" t="n">
        <f aca="false">IF(A10="",0,C10*IFERROR(INDEX('Matérias-Primas'!$K$5:$K$45,MATCH(A10,'Matérias-Primas'!$A$5:$A$45,0)),0))</f>
        <v>0</v>
      </c>
      <c r="K10" s="20" t="n">
        <f aca="false">IF(A10="",0,C10*IFERROR(INDEX('Matérias-Primas'!$L$5:$L$45,MATCH(A10,'Matérias-Primas'!$A$5:$A$45,0)),0))</f>
        <v>0</v>
      </c>
      <c r="L10" s="20" t="n">
        <f aca="false">IF(A10="",0,C10*IFERROR(INDEX('Matérias-Primas'!$M$5:$M$45,MATCH(A10,'Matérias-Primas'!$A$5:$A$45,0)),0))</f>
        <v>0</v>
      </c>
      <c r="M10" s="20" t="n">
        <f aca="false">IF(A10="",0,C10*IFERROR(INDEX('Matérias-Primas'!$N$5:$N$45,MATCH(A10,'Matérias-Primas'!$A$5:$A$45,0)),0))</f>
        <v>0</v>
      </c>
      <c r="N10" s="20" t="n">
        <f aca="false">IF(A10="",0,C10*IFERROR(INDEX('Matérias-Primas'!$O$5:$O$45,MATCH(A10,'Matérias-Primas'!$A$5:$A$45,0)),0))</f>
        <v>0</v>
      </c>
      <c r="O10" s="20" t="n">
        <f aca="false">IF(A10="",0,C10*IFERROR(INDEX('Matérias-Primas'!$P$5:$P$45,MATCH(A10,'Matérias-Primas'!$A$5:$A$45,0)),0))</f>
        <v>0</v>
      </c>
      <c r="P10" s="20" t="n">
        <f aca="false">IF(A10="",0,C10*IFERROR(INDEX('Matérias-Primas'!$Q$5:$Q$45,MATCH(A10,'Matérias-Primas'!$A$5:$A$45,0)),0))</f>
        <v>0</v>
      </c>
      <c r="Q10" s="20" t="n">
        <f aca="false">IF(A10="",0,C10*IFERROR(INDEX('Matérias-Primas'!$R$5:$R$45,MATCH(A10,'Matérias-Primas'!$A$5:$A$45,0)),0))</f>
        <v>0</v>
      </c>
    </row>
    <row r="11" customFormat="false" ht="15" hidden="false" customHeight="false" outlineLevel="0" collapsed="false">
      <c r="A11" s="13"/>
      <c r="B11" s="15"/>
      <c r="C11" s="18" t="str">
        <f aca="false">IF(B11="","",B11/SUM($B$5:$B$14))</f>
        <v/>
      </c>
      <c r="D11" s="19" t="str">
        <f aca="false">IF(A11="","",IFERROR(INDEX('Matérias-Primas'!$D$5:$D$45,MATCH(A11,'Matérias-Primas'!$A$5:$A$45,0)),0))</f>
        <v/>
      </c>
      <c r="E11" s="20" t="n">
        <f aca="false">IF(A11="",0,C11*IFERROR(INDEX('Matérias-Primas'!$F$5:$F$45,MATCH(A11,'Matérias-Primas'!$A$5:$A$45,0)),0))</f>
        <v>0</v>
      </c>
      <c r="F11" s="20" t="n">
        <f aca="false">IF(A11="",0,C11*IFERROR(INDEX('Matérias-Primas'!$G$5:$G$45,MATCH(A11,'Matérias-Primas'!$A$5:$A$45,0)),0))</f>
        <v>0</v>
      </c>
      <c r="G11" s="20" t="n">
        <f aca="false">IF(A11="",0,C11*IFERROR(INDEX('Matérias-Primas'!$H$5:$H$45,MATCH(A11,'Matérias-Primas'!$A$5:$A$45,0)),0))</f>
        <v>0</v>
      </c>
      <c r="H11" s="20" t="n">
        <f aca="false">IF(A11="",0,C11*IFERROR(INDEX('Matérias-Primas'!$I$5:$I$45,MATCH(A11,'Matérias-Primas'!$A$5:$A$45,0)),0))</f>
        <v>0</v>
      </c>
      <c r="I11" s="20" t="n">
        <f aca="false">IF(A11="",0,C11*IFERROR(INDEX('Matérias-Primas'!$J$5:$J$45,MATCH(A11,'Matérias-Primas'!$A$5:$A$45,0)),0))</f>
        <v>0</v>
      </c>
      <c r="J11" s="20" t="n">
        <f aca="false">IF(A11="",0,C11*IFERROR(INDEX('Matérias-Primas'!$K$5:$K$45,MATCH(A11,'Matérias-Primas'!$A$5:$A$45,0)),0))</f>
        <v>0</v>
      </c>
      <c r="K11" s="20" t="n">
        <f aca="false">IF(A11="",0,C11*IFERROR(INDEX('Matérias-Primas'!$L$5:$L$45,MATCH(A11,'Matérias-Primas'!$A$5:$A$45,0)),0))</f>
        <v>0</v>
      </c>
      <c r="L11" s="20" t="n">
        <f aca="false">IF(A11="",0,C11*IFERROR(INDEX('Matérias-Primas'!$M$5:$M$45,MATCH(A11,'Matérias-Primas'!$A$5:$A$45,0)),0))</f>
        <v>0</v>
      </c>
      <c r="M11" s="20" t="n">
        <f aca="false">IF(A11="",0,C11*IFERROR(INDEX('Matérias-Primas'!$N$5:$N$45,MATCH(A11,'Matérias-Primas'!$A$5:$A$45,0)),0))</f>
        <v>0</v>
      </c>
      <c r="N11" s="20" t="n">
        <f aca="false">IF(A11="",0,C11*IFERROR(INDEX('Matérias-Primas'!$O$5:$O$45,MATCH(A11,'Matérias-Primas'!$A$5:$A$45,0)),0))</f>
        <v>0</v>
      </c>
      <c r="O11" s="20" t="n">
        <f aca="false">IF(A11="",0,C11*IFERROR(INDEX('Matérias-Primas'!$P$5:$P$45,MATCH(A11,'Matérias-Primas'!$A$5:$A$45,0)),0))</f>
        <v>0</v>
      </c>
      <c r="P11" s="20" t="n">
        <f aca="false">IF(A11="",0,C11*IFERROR(INDEX('Matérias-Primas'!$Q$5:$Q$45,MATCH(A11,'Matérias-Primas'!$A$5:$A$45,0)),0))</f>
        <v>0</v>
      </c>
      <c r="Q11" s="20" t="n">
        <f aca="false">IF(A11="",0,C11*IFERROR(INDEX('Matérias-Primas'!$R$5:$R$45,MATCH(A11,'Matérias-Primas'!$A$5:$A$45,0)),0))</f>
        <v>0</v>
      </c>
    </row>
    <row r="12" customFormat="false" ht="15" hidden="false" customHeight="false" outlineLevel="0" collapsed="false">
      <c r="A12" s="13"/>
      <c r="B12" s="15"/>
      <c r="C12" s="18" t="str">
        <f aca="false">IF(B12="","",B12/SUM($B$5:$B$14))</f>
        <v/>
      </c>
      <c r="D12" s="19" t="str">
        <f aca="false">IF(A12="","",IFERROR(INDEX('Matérias-Primas'!$D$5:$D$45,MATCH(A12,'Matérias-Primas'!$A$5:$A$45,0)),0))</f>
        <v/>
      </c>
      <c r="E12" s="20" t="n">
        <f aca="false">IF(A12="",0,C12*IFERROR(INDEX('Matérias-Primas'!$F$5:$F$45,MATCH(A12,'Matérias-Primas'!$A$5:$A$45,0)),0))</f>
        <v>0</v>
      </c>
      <c r="F12" s="20" t="n">
        <f aca="false">IF(A12="",0,C12*IFERROR(INDEX('Matérias-Primas'!$G$5:$G$45,MATCH(A12,'Matérias-Primas'!$A$5:$A$45,0)),0))</f>
        <v>0</v>
      </c>
      <c r="G12" s="20" t="n">
        <f aca="false">IF(A12="",0,C12*IFERROR(INDEX('Matérias-Primas'!$H$5:$H$45,MATCH(A12,'Matérias-Primas'!$A$5:$A$45,0)),0))</f>
        <v>0</v>
      </c>
      <c r="H12" s="20" t="n">
        <f aca="false">IF(A12="",0,C12*IFERROR(INDEX('Matérias-Primas'!$I$5:$I$45,MATCH(A12,'Matérias-Primas'!$A$5:$A$45,0)),0))</f>
        <v>0</v>
      </c>
      <c r="I12" s="20" t="n">
        <f aca="false">IF(A12="",0,C12*IFERROR(INDEX('Matérias-Primas'!$J$5:$J$45,MATCH(A12,'Matérias-Primas'!$A$5:$A$45,0)),0))</f>
        <v>0</v>
      </c>
      <c r="J12" s="20" t="n">
        <f aca="false">IF(A12="",0,C12*IFERROR(INDEX('Matérias-Primas'!$K$5:$K$45,MATCH(A12,'Matérias-Primas'!$A$5:$A$45,0)),0))</f>
        <v>0</v>
      </c>
      <c r="K12" s="20" t="n">
        <f aca="false">IF(A12="",0,C12*IFERROR(INDEX('Matérias-Primas'!$L$5:$L$45,MATCH(A12,'Matérias-Primas'!$A$5:$A$45,0)),0))</f>
        <v>0</v>
      </c>
      <c r="L12" s="20" t="n">
        <f aca="false">IF(A12="",0,C12*IFERROR(INDEX('Matérias-Primas'!$M$5:$M$45,MATCH(A12,'Matérias-Primas'!$A$5:$A$45,0)),0))</f>
        <v>0</v>
      </c>
      <c r="M12" s="20" t="n">
        <f aca="false">IF(A12="",0,C12*IFERROR(INDEX('Matérias-Primas'!$N$5:$N$45,MATCH(A12,'Matérias-Primas'!$A$5:$A$45,0)),0))</f>
        <v>0</v>
      </c>
      <c r="N12" s="20" t="n">
        <f aca="false">IF(A12="",0,C12*IFERROR(INDEX('Matérias-Primas'!$O$5:$O$45,MATCH(A12,'Matérias-Primas'!$A$5:$A$45,0)),0))</f>
        <v>0</v>
      </c>
      <c r="O12" s="20" t="n">
        <f aca="false">IF(A12="",0,C12*IFERROR(INDEX('Matérias-Primas'!$P$5:$P$45,MATCH(A12,'Matérias-Primas'!$A$5:$A$45,0)),0))</f>
        <v>0</v>
      </c>
      <c r="P12" s="20" t="n">
        <f aca="false">IF(A12="",0,C12*IFERROR(INDEX('Matérias-Primas'!$Q$5:$Q$45,MATCH(A12,'Matérias-Primas'!$A$5:$A$45,0)),0))</f>
        <v>0</v>
      </c>
      <c r="Q12" s="20" t="n">
        <f aca="false">IF(A12="",0,C12*IFERROR(INDEX('Matérias-Primas'!$R$5:$R$45,MATCH(A12,'Matérias-Primas'!$A$5:$A$45,0)),0))</f>
        <v>0</v>
      </c>
    </row>
    <row r="13" customFormat="false" ht="15" hidden="false" customHeight="false" outlineLevel="0" collapsed="false">
      <c r="A13" s="13"/>
      <c r="B13" s="15"/>
      <c r="C13" s="18" t="str">
        <f aca="false">IF(B13="","",B13/SUM($B$5:$B$14))</f>
        <v/>
      </c>
      <c r="D13" s="19" t="str">
        <f aca="false">IF(A13="","",IFERROR(INDEX('Matérias-Primas'!$D$5:$D$45,MATCH(A13,'Matérias-Primas'!$A$5:$A$45,0)),0))</f>
        <v/>
      </c>
      <c r="E13" s="20" t="n">
        <f aca="false">IF(A13="",0,C13*IFERROR(INDEX('Matérias-Primas'!$F$5:$F$45,MATCH(A13,'Matérias-Primas'!$A$5:$A$45,0)),0))</f>
        <v>0</v>
      </c>
      <c r="F13" s="20" t="n">
        <f aca="false">IF(A13="",0,C13*IFERROR(INDEX('Matérias-Primas'!$G$5:$G$45,MATCH(A13,'Matérias-Primas'!$A$5:$A$45,0)),0))</f>
        <v>0</v>
      </c>
      <c r="G13" s="20" t="n">
        <f aca="false">IF(A13="",0,C13*IFERROR(INDEX('Matérias-Primas'!$H$5:$H$45,MATCH(A13,'Matérias-Primas'!$A$5:$A$45,0)),0))</f>
        <v>0</v>
      </c>
      <c r="H13" s="20" t="n">
        <f aca="false">IF(A13="",0,C13*IFERROR(INDEX('Matérias-Primas'!$I$5:$I$45,MATCH(A13,'Matérias-Primas'!$A$5:$A$45,0)),0))</f>
        <v>0</v>
      </c>
      <c r="I13" s="20" t="n">
        <f aca="false">IF(A13="",0,C13*IFERROR(INDEX('Matérias-Primas'!$J$5:$J$45,MATCH(A13,'Matérias-Primas'!$A$5:$A$45,0)),0))</f>
        <v>0</v>
      </c>
      <c r="J13" s="20" t="n">
        <f aca="false">IF(A13="",0,C13*IFERROR(INDEX('Matérias-Primas'!$K$5:$K$45,MATCH(A13,'Matérias-Primas'!$A$5:$A$45,0)),0))</f>
        <v>0</v>
      </c>
      <c r="K13" s="20" t="n">
        <f aca="false">IF(A13="",0,C13*IFERROR(INDEX('Matérias-Primas'!$L$5:$L$45,MATCH(A13,'Matérias-Primas'!$A$5:$A$45,0)),0))</f>
        <v>0</v>
      </c>
      <c r="L13" s="20" t="n">
        <f aca="false">IF(A13="",0,C13*IFERROR(INDEX('Matérias-Primas'!$M$5:$M$45,MATCH(A13,'Matérias-Primas'!$A$5:$A$45,0)),0))</f>
        <v>0</v>
      </c>
      <c r="M13" s="20" t="n">
        <f aca="false">IF(A13="",0,C13*IFERROR(INDEX('Matérias-Primas'!$N$5:$N$45,MATCH(A13,'Matérias-Primas'!$A$5:$A$45,0)),0))</f>
        <v>0</v>
      </c>
      <c r="N13" s="20" t="n">
        <f aca="false">IF(A13="",0,C13*IFERROR(INDEX('Matérias-Primas'!$O$5:$O$45,MATCH(A13,'Matérias-Primas'!$A$5:$A$45,0)),0))</f>
        <v>0</v>
      </c>
      <c r="O13" s="20" t="n">
        <f aca="false">IF(A13="",0,C13*IFERROR(INDEX('Matérias-Primas'!$P$5:$P$45,MATCH(A13,'Matérias-Primas'!$A$5:$A$45,0)),0))</f>
        <v>0</v>
      </c>
      <c r="P13" s="20" t="n">
        <f aca="false">IF(A13="",0,C13*IFERROR(INDEX('Matérias-Primas'!$Q$5:$Q$45,MATCH(A13,'Matérias-Primas'!$A$5:$A$45,0)),0))</f>
        <v>0</v>
      </c>
      <c r="Q13" s="20" t="n">
        <f aca="false">IF(A13="",0,C13*IFERROR(INDEX('Matérias-Primas'!$R$5:$R$45,MATCH(A13,'Matérias-Primas'!$A$5:$A$45,0)),0))</f>
        <v>0</v>
      </c>
    </row>
    <row r="14" customFormat="false" ht="15" hidden="false" customHeight="false" outlineLevel="0" collapsed="false">
      <c r="A14" s="13"/>
      <c r="B14" s="15"/>
      <c r="C14" s="18" t="str">
        <f aca="false">IF(B14="","",B14/SUM($B$5:$B$14))</f>
        <v/>
      </c>
      <c r="D14" s="19" t="str">
        <f aca="false">IF(A14="","",IFERROR(INDEX('Matérias-Primas'!$D$5:$D$45,MATCH(A14,'Matérias-Primas'!$A$5:$A$45,0)),0))</f>
        <v/>
      </c>
      <c r="E14" s="20" t="n">
        <f aca="false">IF(A14="",0,C14*IFERROR(INDEX('Matérias-Primas'!$F$5:$F$45,MATCH(A14,'Matérias-Primas'!$A$5:$A$45,0)),0))</f>
        <v>0</v>
      </c>
      <c r="F14" s="20" t="n">
        <f aca="false">IF(A14="",0,C14*IFERROR(INDEX('Matérias-Primas'!$G$5:$G$45,MATCH(A14,'Matérias-Primas'!$A$5:$A$45,0)),0))</f>
        <v>0</v>
      </c>
      <c r="G14" s="20" t="n">
        <f aca="false">IF(A14="",0,C14*IFERROR(INDEX('Matérias-Primas'!$H$5:$H$45,MATCH(A14,'Matérias-Primas'!$A$5:$A$45,0)),0))</f>
        <v>0</v>
      </c>
      <c r="H14" s="20" t="n">
        <f aca="false">IF(A14="",0,C14*IFERROR(INDEX('Matérias-Primas'!$I$5:$I$45,MATCH(A14,'Matérias-Primas'!$A$5:$A$45,0)),0))</f>
        <v>0</v>
      </c>
      <c r="I14" s="20" t="n">
        <f aca="false">IF(A14="",0,C14*IFERROR(INDEX('Matérias-Primas'!$J$5:$J$45,MATCH(A14,'Matérias-Primas'!$A$5:$A$45,0)),0))</f>
        <v>0</v>
      </c>
      <c r="J14" s="20" t="n">
        <f aca="false">IF(A14="",0,C14*IFERROR(INDEX('Matérias-Primas'!$K$5:$K$45,MATCH(A14,'Matérias-Primas'!$A$5:$A$45,0)),0))</f>
        <v>0</v>
      </c>
      <c r="K14" s="20" t="n">
        <f aca="false">IF(A14="",0,C14*IFERROR(INDEX('Matérias-Primas'!$L$5:$L$45,MATCH(A14,'Matérias-Primas'!$A$5:$A$45,0)),0))</f>
        <v>0</v>
      </c>
      <c r="L14" s="20" t="n">
        <f aca="false">IF(A14="",0,C14*IFERROR(INDEX('Matérias-Primas'!$M$5:$M$45,MATCH(A14,'Matérias-Primas'!$A$5:$A$45,0)),0))</f>
        <v>0</v>
      </c>
      <c r="M14" s="20" t="n">
        <f aca="false">IF(A14="",0,C14*IFERROR(INDEX('Matérias-Primas'!$N$5:$N$45,MATCH(A14,'Matérias-Primas'!$A$5:$A$45,0)),0))</f>
        <v>0</v>
      </c>
      <c r="N14" s="20" t="n">
        <f aca="false">IF(A14="",0,C14*IFERROR(INDEX('Matérias-Primas'!$O$5:$O$45,MATCH(A14,'Matérias-Primas'!$A$5:$A$45,0)),0))</f>
        <v>0</v>
      </c>
      <c r="O14" s="20" t="n">
        <f aca="false">IF(A14="",0,C14*IFERROR(INDEX('Matérias-Primas'!$P$5:$P$45,MATCH(A14,'Matérias-Primas'!$A$5:$A$45,0)),0))</f>
        <v>0</v>
      </c>
      <c r="P14" s="20" t="n">
        <f aca="false">IF(A14="",0,C14*IFERROR(INDEX('Matérias-Primas'!$Q$5:$Q$45,MATCH(A14,'Matérias-Primas'!$A$5:$A$45,0)),0))</f>
        <v>0</v>
      </c>
      <c r="Q14" s="20" t="n">
        <f aca="false">IF(A14="",0,C14*IFERROR(INDEX('Matérias-Primas'!$R$5:$R$45,MATCH(A14,'Matérias-Primas'!$A$5:$A$45,0)),0))</f>
        <v>0</v>
      </c>
    </row>
    <row r="15" customFormat="false" ht="15" hidden="false" customHeight="false" outlineLevel="0" collapsed="false">
      <c r="A15" s="5" t="s">
        <v>106</v>
      </c>
      <c r="B15" s="21" t="n">
        <f aca="false">SUM(B5:B14)</f>
        <v>100</v>
      </c>
      <c r="C15" s="22" t="n">
        <f aca="false">SUM(C5:C14)</f>
        <v>1</v>
      </c>
      <c r="D15" s="2"/>
      <c r="E15" s="23" t="n">
        <f aca="false">SUM(E5:E14)</f>
        <v>66.161</v>
      </c>
      <c r="F15" s="23" t="n">
        <f aca="false">SUM(F5:F14)</f>
        <v>10.425</v>
      </c>
      <c r="G15" s="23" t="n">
        <f aca="false">SUM(G5:G14)</f>
        <v>2.772</v>
      </c>
      <c r="H15" s="23" t="n">
        <f aca="false">SUM(H5:H14)</f>
        <v>2.286</v>
      </c>
      <c r="I15" s="23" t="n">
        <f aca="false">SUM(I5:I14)</f>
        <v>3.85</v>
      </c>
      <c r="J15" s="23" t="n">
        <f aca="false">SUM(J5:J14)</f>
        <v>0</v>
      </c>
      <c r="K15" s="23" t="n">
        <f aca="false">SUM(K5:K14)</f>
        <v>11.176</v>
      </c>
      <c r="L15" s="23" t="n">
        <f aca="false">SUM(L5:L14)</f>
        <v>1.595</v>
      </c>
      <c r="M15" s="23" t="n">
        <f aca="false">SUM(M5:M14)</f>
        <v>0</v>
      </c>
      <c r="N15" s="23" t="n">
        <f aca="false">SUM(N5:N14)</f>
        <v>0</v>
      </c>
      <c r="O15" s="23" t="n">
        <f aca="false">SUM(O5:O14)</f>
        <v>0</v>
      </c>
      <c r="P15" s="23" t="n">
        <f aca="false">SUM(P5:P14)</f>
        <v>0.045</v>
      </c>
      <c r="Q15" s="23" t="n">
        <f aca="false">SUM(Q5:Q14)</f>
        <v>0</v>
      </c>
    </row>
    <row r="16" customFormat="false" ht="15" hidden="false" customHeight="false" outlineLevel="0" collapsed="false">
      <c r="A16" s="5" t="s">
        <v>107</v>
      </c>
      <c r="B16" s="2"/>
      <c r="C16" s="2"/>
      <c r="D16" s="2"/>
      <c r="E16" s="24" t="n">
        <f aca="false">'Matérias-Primas'!F3</f>
        <v>60.08</v>
      </c>
      <c r="F16" s="24" t="n">
        <f aca="false">'Matérias-Primas'!G3</f>
        <v>101.96</v>
      </c>
      <c r="G16" s="24" t="n">
        <f aca="false">'Matérias-Primas'!H3</f>
        <v>69.62</v>
      </c>
      <c r="H16" s="24" t="n">
        <f aca="false">'Matérias-Primas'!I3</f>
        <v>61.98</v>
      </c>
      <c r="I16" s="24" t="n">
        <f aca="false">'Matérias-Primas'!J3</f>
        <v>94.2</v>
      </c>
      <c r="J16" s="24" t="n">
        <f aca="false">'Matérias-Primas'!K3</f>
        <v>29.88</v>
      </c>
      <c r="K16" s="24" t="n">
        <f aca="false">'Matérias-Primas'!L3</f>
        <v>56.08</v>
      </c>
      <c r="L16" s="24" t="n">
        <f aca="false">'Matérias-Primas'!M3</f>
        <v>40.3</v>
      </c>
      <c r="M16" s="24" t="n">
        <f aca="false">'Matérias-Primas'!N3</f>
        <v>103.62</v>
      </c>
      <c r="N16" s="24" t="n">
        <f aca="false">'Matérias-Primas'!O3</f>
        <v>81.38</v>
      </c>
      <c r="O16" s="24" t="n">
        <f aca="false">'Matérias-Primas'!P3</f>
        <v>123.22</v>
      </c>
      <c r="P16" s="24" t="n">
        <f aca="false">'Matérias-Primas'!Q3</f>
        <v>159.69</v>
      </c>
      <c r="Q16" s="24" t="n">
        <f aca="false">'Matérias-Primas'!R3</f>
        <v>79.87</v>
      </c>
    </row>
    <row r="17" customFormat="false" ht="15" hidden="false" customHeight="false" outlineLevel="0" collapsed="false">
      <c r="A17" s="5" t="s">
        <v>108</v>
      </c>
      <c r="B17" s="2"/>
      <c r="C17" s="3" t="s">
        <v>109</v>
      </c>
      <c r="D17" s="25" t="n">
        <f aca="false">H17+I17+J17+K17+L17+M17+N17</f>
        <v>0.316618250773126</v>
      </c>
      <c r="E17" s="25" t="n">
        <f aca="false">E15/E16</f>
        <v>1.10121504660453</v>
      </c>
      <c r="F17" s="25" t="n">
        <f aca="false">F15/F16</f>
        <v>0.102245978815222</v>
      </c>
      <c r="G17" s="25" t="n">
        <f aca="false">G15/G16</f>
        <v>0.039816144785981</v>
      </c>
      <c r="H17" s="25" t="n">
        <f aca="false">H15/H16</f>
        <v>0.0368828654404647</v>
      </c>
      <c r="I17" s="25" t="n">
        <f aca="false">I15/I16</f>
        <v>0.0408704883227176</v>
      </c>
      <c r="J17" s="25" t="n">
        <f aca="false">J15/J16</f>
        <v>0</v>
      </c>
      <c r="K17" s="25" t="n">
        <f aca="false">K15/K16</f>
        <v>0.199286733238231</v>
      </c>
      <c r="L17" s="25" t="n">
        <f aca="false">L15/L16</f>
        <v>0.0395781637717122</v>
      </c>
      <c r="M17" s="25" t="n">
        <f aca="false">M15/M16</f>
        <v>0</v>
      </c>
      <c r="N17" s="25" t="n">
        <f aca="false">N15/N16</f>
        <v>0</v>
      </c>
      <c r="O17" s="25" t="n">
        <f aca="false">O15/O16</f>
        <v>0</v>
      </c>
      <c r="P17" s="25" t="n">
        <f aca="false">P15/P16</f>
        <v>0.000281795979710689</v>
      </c>
      <c r="Q17" s="25" t="n">
        <f aca="false">Q15/Q16</f>
        <v>0</v>
      </c>
    </row>
    <row r="18" customFormat="false" ht="15" hidden="false" customHeight="false" outlineLevel="0" collapsed="false">
      <c r="A18" s="5" t="s">
        <v>110</v>
      </c>
      <c r="B18" s="2"/>
      <c r="C18" s="2"/>
      <c r="D18" s="2"/>
      <c r="E18" s="26" t="n">
        <f aca="false">IF($D$17=0,0,E17/$D$17)</f>
        <v>3.47805296730544</v>
      </c>
      <c r="F18" s="26" t="n">
        <f aca="false">IF($D$17=0,0,F17/$D$17)</f>
        <v>0.322931412088707</v>
      </c>
      <c r="G18" s="26" t="n">
        <f aca="false">IF($D$17=0,0,G17/$D$17)</f>
        <v>0.125754420943067</v>
      </c>
      <c r="H18" s="26" t="n">
        <f aca="false">IF($D$17=0,0,H17/$D$17)</f>
        <v>0.116490017080201</v>
      </c>
      <c r="I18" s="26" t="n">
        <f aca="false">IF($D$17=0,0,I17/$D$17)</f>
        <v>0.129084435982194</v>
      </c>
      <c r="J18" s="26" t="n">
        <f aca="false">IF($D$17=0,0,J17/$D$17)</f>
        <v>0</v>
      </c>
      <c r="K18" s="26" t="n">
        <f aca="false">IF($D$17=0,0,K17/$D$17)</f>
        <v>0.629422759906001</v>
      </c>
      <c r="L18" s="26" t="n">
        <f aca="false">IF($D$17=0,0,L17/$D$17)</f>
        <v>0.125002787031605</v>
      </c>
      <c r="M18" s="26" t="n">
        <f aca="false">IF($D$17=0,0,M17/$D$17)</f>
        <v>0</v>
      </c>
      <c r="N18" s="26" t="n">
        <f aca="false">IF($D$17=0,0,N17/$D$17)</f>
        <v>0</v>
      </c>
      <c r="O18" s="26" t="n">
        <f aca="false">IF($D$17=0,0,O17/$D$17)</f>
        <v>0</v>
      </c>
      <c r="P18" s="26" t="n">
        <f aca="false">IF($D$17=0,0,P17/$D$17)</f>
        <v>0.00089001811810467</v>
      </c>
      <c r="Q18" s="26" t="n">
        <f aca="false">IF($D$17=0,0,Q17/$D$17)</f>
        <v>0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15" hidden="false" customHeight="false" outlineLevel="0" collapsed="false">
      <c r="A20" s="4" t="s">
        <v>111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customFormat="false" ht="15" hidden="false" customHeight="false" outlineLevel="0" collapsed="false">
      <c r="A21" s="12" t="s">
        <v>112</v>
      </c>
      <c r="B21" s="12" t="s">
        <v>113</v>
      </c>
      <c r="C21" s="12" t="s">
        <v>114</v>
      </c>
      <c r="D21" s="12" t="s">
        <v>115</v>
      </c>
      <c r="E21" s="12" t="s">
        <v>116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customFormat="false" ht="15" hidden="false" customHeight="false" outlineLevel="0" collapsed="false">
      <c r="A22" s="27" t="s">
        <v>117</v>
      </c>
      <c r="B22" s="28" t="n">
        <f aca="false">E18</f>
        <v>3.47805296730544</v>
      </c>
      <c r="C22" s="29" t="n">
        <v>3</v>
      </c>
      <c r="D22" s="29" t="n">
        <v>4</v>
      </c>
      <c r="E22" s="30" t="str">
        <f aca="false">IF(AND(B22&gt;=C22,B22&lt;=D22),"OK","Ajustar")</f>
        <v>OK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customFormat="false" ht="15" hidden="false" customHeight="false" outlineLevel="0" collapsed="false">
      <c r="A23" s="27" t="s">
        <v>118</v>
      </c>
      <c r="B23" s="28" t="n">
        <f aca="false">F18</f>
        <v>0.322931412088707</v>
      </c>
      <c r="C23" s="29" t="n">
        <v>0.28</v>
      </c>
      <c r="D23" s="29" t="n">
        <v>0.38</v>
      </c>
      <c r="E23" s="30" t="str">
        <f aca="false">IF(AND(B23&gt;=C23,B23&lt;=D23),"OK","Ajustar")</f>
        <v>OK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customFormat="false" ht="15" hidden="false" customHeight="false" outlineLevel="0" collapsed="false">
      <c r="A24" s="27" t="s">
        <v>119</v>
      </c>
      <c r="B24" s="28" t="n">
        <f aca="false">G18</f>
        <v>0.125754420943067</v>
      </c>
      <c r="C24" s="29" t="n">
        <v>0.1</v>
      </c>
      <c r="D24" s="29" t="n">
        <v>0.25</v>
      </c>
      <c r="E24" s="30" t="str">
        <f aca="false">IF(AND(B24&gt;=C24,B24&lt;=D24),"OK","Ajustar")</f>
        <v>OK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customFormat="false" ht="15" hidden="false" customHeight="false" outlineLevel="0" collapsed="false">
      <c r="A25" s="27" t="s">
        <v>120</v>
      </c>
      <c r="B25" s="28" t="n">
        <f aca="false">IF(F18=0,0,E18/F18)</f>
        <v>10.7702528682779</v>
      </c>
      <c r="C25" s="29" t="n">
        <v>8</v>
      </c>
      <c r="D25" s="29" t="n">
        <v>11</v>
      </c>
      <c r="E25" s="30" t="str">
        <f aca="false">IF(AND(B25&gt;=C25,B25&lt;=D25),"OK","Ajustar")</f>
        <v>OK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customFormat="false" ht="15" hidden="false" customHeight="false" outlineLevel="0" collapsed="false">
      <c r="A27" s="5" t="s">
        <v>121</v>
      </c>
      <c r="B27" s="31" t="n">
        <f aca="false">SUMPRODUCT(C5:C14,D5:D14)</f>
        <v>5.315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customFormat="false" ht="15" hidden="false" customHeight="false" outlineLevel="0" collapsed="false">
      <c r="A28" s="3" t="s">
        <v>122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</sheetData>
  <conditionalFormatting sqref="E22:E2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"Ajustar"</formula>
    </cfRule>
  </conditionalFormatting>
  <dataValidations count="1">
    <dataValidation allowBlank="true" errorStyle="stop" operator="between" showDropDown="false" showErrorMessage="false" showInputMessage="false" sqref="A5:A14" type="list">
      <formula1>'Matérias-Primas'!$A$5:$A$45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7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7"/>
    <col collapsed="false" customWidth="true" hidden="false" outlineLevel="0" max="8" min="8" style="0" width="22"/>
    <col collapsed="false" customWidth="true" hidden="false" outlineLevel="0" max="9" min="9" style="0" width="7"/>
    <col collapsed="false" customWidth="true" hidden="false" outlineLevel="0" max="10" min="10" style="0" width="14"/>
    <col collapsed="false" customWidth="true" hidden="false" outlineLevel="0" max="11" min="11" style="0" width="19"/>
    <col collapsed="false" customWidth="true" hidden="false" outlineLevel="0" max="12" min="12" style="0" width="12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46"/>
  </cols>
  <sheetData>
    <row r="1" customFormat="false" ht="17.35" hidden="false" customHeight="false" outlineLevel="0" collapsed="false">
      <c r="A1" s="1" t="s">
        <v>131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42" hidden="false" customHeight="true" outlineLevel="0" collapsed="false">
      <c r="A4" s="12" t="s">
        <v>133</v>
      </c>
      <c r="B4" s="12" t="s">
        <v>134</v>
      </c>
      <c r="C4" s="12" t="s">
        <v>54</v>
      </c>
      <c r="D4" s="12" t="s">
        <v>135</v>
      </c>
      <c r="E4" s="12" t="s">
        <v>136</v>
      </c>
      <c r="F4" s="12" t="s">
        <v>137</v>
      </c>
      <c r="G4" s="12" t="s">
        <v>138</v>
      </c>
      <c r="H4" s="12" t="s">
        <v>139</v>
      </c>
      <c r="I4" s="12" t="s">
        <v>140</v>
      </c>
      <c r="J4" s="12" t="s">
        <v>141</v>
      </c>
      <c r="K4" s="12" t="s">
        <v>142</v>
      </c>
      <c r="L4" s="12" t="s">
        <v>143</v>
      </c>
      <c r="M4" s="12" t="s">
        <v>144</v>
      </c>
      <c r="N4" s="12" t="s">
        <v>145</v>
      </c>
      <c r="O4" s="12" t="s">
        <v>146</v>
      </c>
    </row>
    <row r="5" customFormat="false" ht="15" hidden="false" customHeight="false" outlineLevel="0" collapsed="false">
      <c r="A5" s="32" t="n">
        <v>1</v>
      </c>
      <c r="B5" s="33" t="s">
        <v>147</v>
      </c>
      <c r="C5" s="32" t="s">
        <v>148</v>
      </c>
      <c r="D5" s="32"/>
      <c r="E5" s="34"/>
      <c r="F5" s="32"/>
      <c r="G5" s="34"/>
      <c r="H5" s="32"/>
      <c r="I5" s="34"/>
      <c r="J5" s="32" t="s">
        <v>149</v>
      </c>
      <c r="K5" s="32" t="s">
        <v>150</v>
      </c>
      <c r="L5" s="35" t="n">
        <f aca="false">IFERROR(CHOOSE(MATCH(C5,{"A","B","C","D","E"},0),'Base A'!$B$27,'Base B'!$B$27,'Base C'!$B$27,'Base D'!$B$27,'Base E'!$B$27),0)</f>
        <v>6.2</v>
      </c>
      <c r="M5" s="36" t="n">
        <f aca="false">IF(D5="",0,N(E5)/100*IFERROR(INDEX('Matérias-Primas'!$D$5:$D$45,MATCH(D5,'Matérias-Primas'!$A$5:$A$45,0)),0))+IF(F5="",0,N(G5)/100*IFERROR(INDEX('Matérias-Primas'!$D$5:$D$45,MATCH(F5,'Matérias-Primas'!$A$5:$A$45,0)),0))+IF(H5="",0,N(I5)/100*IFERROR(INDEX('Matérias-Primas'!$D$5:$D$45,MATCH(H5,'Matérias-Primas'!$A$5:$A$45,0)),0))</f>
        <v>0</v>
      </c>
      <c r="N5" s="37" t="n">
        <f aca="false">(L5+M5)/(1+(N(E5)+N(G5)+N(I5))/100)</f>
        <v>6.2</v>
      </c>
      <c r="O5" s="33" t="s">
        <v>151</v>
      </c>
    </row>
    <row r="6" customFormat="false" ht="15" hidden="false" customHeight="false" outlineLevel="0" collapsed="false">
      <c r="A6" s="32" t="n">
        <v>2</v>
      </c>
      <c r="B6" s="33" t="s">
        <v>152</v>
      </c>
      <c r="C6" s="32" t="s">
        <v>153</v>
      </c>
      <c r="D6" s="32"/>
      <c r="E6" s="34"/>
      <c r="F6" s="32"/>
      <c r="G6" s="34"/>
      <c r="H6" s="32"/>
      <c r="I6" s="34"/>
      <c r="J6" s="32" t="s">
        <v>154</v>
      </c>
      <c r="K6" s="32" t="s">
        <v>150</v>
      </c>
      <c r="L6" s="35" t="n">
        <f aca="false">IFERROR(CHOOSE(MATCH(C6,{"A","B","C","D","E"},0),'Base A'!$B$27,'Base B'!$B$27,'Base C'!$B$27,'Base D'!$B$27,'Base E'!$B$27),0)</f>
        <v>5.455</v>
      </c>
      <c r="M6" s="36" t="n">
        <f aca="false">IF(D6="",0,N(E6)/100*IFERROR(INDEX('Matérias-Primas'!$D$5:$D$45,MATCH(D6,'Matérias-Primas'!$A$5:$A$45,0)),0))+IF(F6="",0,N(G6)/100*IFERROR(INDEX('Matérias-Primas'!$D$5:$D$45,MATCH(F6,'Matérias-Primas'!$A$5:$A$45,0)),0))+IF(H6="",0,N(I6)/100*IFERROR(INDEX('Matérias-Primas'!$D$5:$D$45,MATCH(H6,'Matérias-Primas'!$A$5:$A$45,0)),0))</f>
        <v>0</v>
      </c>
      <c r="N6" s="37" t="n">
        <f aca="false">(L6+M6)/(1+(N(E6)+N(G6)+N(I6))/100)</f>
        <v>5.455</v>
      </c>
      <c r="O6" s="33" t="s">
        <v>155</v>
      </c>
    </row>
    <row r="7" customFormat="false" ht="15" hidden="false" customHeight="false" outlineLevel="0" collapsed="false">
      <c r="A7" s="32" t="n">
        <v>3</v>
      </c>
      <c r="B7" s="33" t="s">
        <v>156</v>
      </c>
      <c r="C7" s="32" t="s">
        <v>157</v>
      </c>
      <c r="D7" s="32" t="s">
        <v>69</v>
      </c>
      <c r="E7" s="34" t="n">
        <v>10</v>
      </c>
      <c r="F7" s="32"/>
      <c r="G7" s="34"/>
      <c r="H7" s="32"/>
      <c r="I7" s="34"/>
      <c r="J7" s="32" t="s">
        <v>149</v>
      </c>
      <c r="K7" s="32" t="s">
        <v>150</v>
      </c>
      <c r="L7" s="35" t="n">
        <f aca="false">IFERROR(CHOOSE(MATCH(C7,{"A","B","C","D","E"},0),'Base A'!$B$27,'Base B'!$B$27,'Base C'!$B$27,'Base D'!$B$27,'Base E'!$B$27),0)</f>
        <v>8.69</v>
      </c>
      <c r="M7" s="36" t="n">
        <f aca="false">IF(D7="",0,N(E7)/100*IFERROR(INDEX('Matérias-Primas'!$D$5:$D$45,MATCH(D7,'Matérias-Primas'!$A$5:$A$45,0)),0))+IF(F7="",0,N(G7)/100*IFERROR(INDEX('Matérias-Primas'!$D$5:$D$45,MATCH(F7,'Matérias-Primas'!$A$5:$A$45,0)),0))+IF(H7="",0,N(I7)/100*IFERROR(INDEX('Matérias-Primas'!$D$5:$D$45,MATCH(H7,'Matérias-Primas'!$A$5:$A$45,0)),0))</f>
        <v>2.5</v>
      </c>
      <c r="N7" s="37" t="n">
        <f aca="false">(L7+M7)/(1+(N(E7)+N(G7)+N(I7))/100)</f>
        <v>10.1727272727273</v>
      </c>
      <c r="O7" s="33"/>
    </row>
    <row r="8" customFormat="false" ht="15" hidden="false" customHeight="false" outlineLevel="0" collapsed="false">
      <c r="A8" s="32" t="n">
        <v>4</v>
      </c>
      <c r="B8" s="33" t="s">
        <v>158</v>
      </c>
      <c r="C8" s="32" t="s">
        <v>153</v>
      </c>
      <c r="D8" s="32" t="s">
        <v>69</v>
      </c>
      <c r="E8" s="34" t="n">
        <v>8</v>
      </c>
      <c r="F8" s="32"/>
      <c r="G8" s="34"/>
      <c r="H8" s="32"/>
      <c r="I8" s="34"/>
      <c r="J8" s="32" t="s">
        <v>154</v>
      </c>
      <c r="K8" s="32" t="s">
        <v>150</v>
      </c>
      <c r="L8" s="35" t="n">
        <f aca="false">IFERROR(CHOOSE(MATCH(C8,{"A","B","C","D","E"},0),'Base A'!$B$27,'Base B'!$B$27,'Base C'!$B$27,'Base D'!$B$27,'Base E'!$B$27),0)</f>
        <v>5.455</v>
      </c>
      <c r="M8" s="36" t="n">
        <f aca="false">IF(D8="",0,N(E8)/100*IFERROR(INDEX('Matérias-Primas'!$D$5:$D$45,MATCH(D8,'Matérias-Primas'!$A$5:$A$45,0)),0))+IF(F8="",0,N(G8)/100*IFERROR(INDEX('Matérias-Primas'!$D$5:$D$45,MATCH(F8,'Matérias-Primas'!$A$5:$A$45,0)),0))+IF(H8="",0,N(I8)/100*IFERROR(INDEX('Matérias-Primas'!$D$5:$D$45,MATCH(H8,'Matérias-Primas'!$A$5:$A$45,0)),0))</f>
        <v>2</v>
      </c>
      <c r="N8" s="37" t="n">
        <f aca="false">(L8+M8)/(1+(N(E8)+N(G8)+N(I8))/100)</f>
        <v>6.90277777777778</v>
      </c>
      <c r="O8" s="33"/>
    </row>
    <row r="9" customFormat="false" ht="15" hidden="false" customHeight="false" outlineLevel="0" collapsed="false">
      <c r="A9" s="32" t="n">
        <v>5</v>
      </c>
      <c r="B9" s="33" t="s">
        <v>159</v>
      </c>
      <c r="C9" s="32" t="s">
        <v>148</v>
      </c>
      <c r="D9" s="32" t="s">
        <v>81</v>
      </c>
      <c r="E9" s="34" t="n">
        <v>7</v>
      </c>
      <c r="F9" s="32"/>
      <c r="G9" s="34"/>
      <c r="H9" s="32"/>
      <c r="I9" s="34"/>
      <c r="J9" s="32" t="s">
        <v>149</v>
      </c>
      <c r="K9" s="32" t="s">
        <v>150</v>
      </c>
      <c r="L9" s="35" t="n">
        <f aca="false">IFERROR(CHOOSE(MATCH(C9,{"A","B","C","D","E"},0),'Base A'!$B$27,'Base B'!$B$27,'Base C'!$B$27,'Base D'!$B$27,'Base E'!$B$27),0)</f>
        <v>6.2</v>
      </c>
      <c r="M9" s="36" t="n">
        <f aca="false">IF(D9="",0,N(E9)/100*IFERROR(INDEX('Matérias-Primas'!$D$5:$D$45,MATCH(D9,'Matérias-Primas'!$A$5:$A$45,0)),0))+IF(F9="",0,N(G9)/100*IFERROR(INDEX('Matérias-Primas'!$D$5:$D$45,MATCH(F9,'Matérias-Primas'!$A$5:$A$45,0)),0))+IF(H9="",0,N(I9)/100*IFERROR(INDEX('Matérias-Primas'!$D$5:$D$45,MATCH(H9,'Matérias-Primas'!$A$5:$A$45,0)),0))</f>
        <v>17.5</v>
      </c>
      <c r="N9" s="37" t="n">
        <f aca="false">(L9+M9)/(1+(N(E9)+N(G9)+N(I9))/100)</f>
        <v>22.1495327102804</v>
      </c>
      <c r="O9" s="33" t="s">
        <v>160</v>
      </c>
    </row>
    <row r="10" customFormat="false" ht="15" hidden="false" customHeight="false" outlineLevel="0" collapsed="false">
      <c r="A10" s="32" t="n">
        <v>6</v>
      </c>
      <c r="B10" s="33" t="s">
        <v>161</v>
      </c>
      <c r="C10" s="32" t="s">
        <v>162</v>
      </c>
      <c r="D10" s="32" t="s">
        <v>72</v>
      </c>
      <c r="E10" s="34" t="n">
        <v>10</v>
      </c>
      <c r="F10" s="32"/>
      <c r="G10" s="34"/>
      <c r="H10" s="32"/>
      <c r="I10" s="34"/>
      <c r="J10" s="32" t="s">
        <v>154</v>
      </c>
      <c r="K10" s="32" t="s">
        <v>150</v>
      </c>
      <c r="L10" s="35" t="n">
        <f aca="false">IFERROR(CHOOSE(MATCH(C10,{"A","B","C","D","E"},0),'Base A'!$B$27,'Base B'!$B$27,'Base C'!$B$27,'Base D'!$B$27,'Base E'!$B$27),0)</f>
        <v>5.315</v>
      </c>
      <c r="M10" s="36" t="n">
        <f aca="false">IF(D10="",0,N(E10)/100*IFERROR(INDEX('Matérias-Primas'!$D$5:$D$45,MATCH(D10,'Matérias-Primas'!$A$5:$A$45,0)),0))+IF(F10="",0,N(G10)/100*IFERROR(INDEX('Matérias-Primas'!$D$5:$D$45,MATCH(F10,'Matérias-Primas'!$A$5:$A$45,0)),0))+IF(H10="",0,N(I10)/100*IFERROR(INDEX('Matérias-Primas'!$D$5:$D$45,MATCH(H10,'Matérias-Primas'!$A$5:$A$45,0)),0))</f>
        <v>2</v>
      </c>
      <c r="N10" s="37" t="n">
        <f aca="false">(L10+M10)/(1+(N(E10)+N(G10)+N(I10))/100)</f>
        <v>6.65</v>
      </c>
      <c r="O10" s="33" t="s">
        <v>163</v>
      </c>
    </row>
    <row r="11" customFormat="false" ht="15" hidden="false" customHeight="false" outlineLevel="0" collapsed="false">
      <c r="A11" s="32" t="n">
        <v>7</v>
      </c>
      <c r="B11" s="33" t="s">
        <v>164</v>
      </c>
      <c r="C11" s="32" t="s">
        <v>148</v>
      </c>
      <c r="D11" s="32" t="s">
        <v>72</v>
      </c>
      <c r="E11" s="34" t="n">
        <v>1.5</v>
      </c>
      <c r="F11" s="32"/>
      <c r="G11" s="34"/>
      <c r="H11" s="32"/>
      <c r="I11" s="34"/>
      <c r="J11" s="32" t="s">
        <v>149</v>
      </c>
      <c r="K11" s="32" t="s">
        <v>150</v>
      </c>
      <c r="L11" s="35" t="n">
        <f aca="false">IFERROR(CHOOSE(MATCH(C11,{"A","B","C","D","E"},0),'Base A'!$B$27,'Base B'!$B$27,'Base C'!$B$27,'Base D'!$B$27,'Base E'!$B$27),0)</f>
        <v>6.2</v>
      </c>
      <c r="M11" s="36" t="n">
        <f aca="false">IF(D11="",0,N(E11)/100*IFERROR(INDEX('Matérias-Primas'!$D$5:$D$45,MATCH(D11,'Matérias-Primas'!$A$5:$A$45,0)),0))+IF(F11="",0,N(G11)/100*IFERROR(INDEX('Matérias-Primas'!$D$5:$D$45,MATCH(F11,'Matérias-Primas'!$A$5:$A$45,0)),0))+IF(H11="",0,N(I11)/100*IFERROR(INDEX('Matérias-Primas'!$D$5:$D$45,MATCH(H11,'Matérias-Primas'!$A$5:$A$45,0)),0))</f>
        <v>0.3</v>
      </c>
      <c r="N11" s="37" t="n">
        <f aca="false">(L11+M11)/(1+(N(E11)+N(G11)+N(I11))/100)</f>
        <v>6.40394088669951</v>
      </c>
      <c r="O11" s="33" t="s">
        <v>165</v>
      </c>
    </row>
    <row r="12" customFormat="false" ht="15" hidden="false" customHeight="false" outlineLevel="0" collapsed="false">
      <c r="A12" s="32" t="n">
        <v>8</v>
      </c>
      <c r="B12" s="33" t="s">
        <v>166</v>
      </c>
      <c r="C12" s="32" t="s">
        <v>148</v>
      </c>
      <c r="D12" s="32" t="s">
        <v>72</v>
      </c>
      <c r="E12" s="34" t="n">
        <v>1</v>
      </c>
      <c r="F12" s="32" t="s">
        <v>73</v>
      </c>
      <c r="G12" s="34" t="n">
        <v>0.1</v>
      </c>
      <c r="H12" s="32"/>
      <c r="I12" s="34"/>
      <c r="J12" s="32" t="s">
        <v>149</v>
      </c>
      <c r="K12" s="32" t="s">
        <v>150</v>
      </c>
      <c r="L12" s="35" t="n">
        <f aca="false">IFERROR(CHOOSE(MATCH(C12,{"A","B","C","D","E"},0),'Base A'!$B$27,'Base B'!$B$27,'Base C'!$B$27,'Base D'!$B$27,'Base E'!$B$27),0)</f>
        <v>6.2</v>
      </c>
      <c r="M12" s="36" t="n">
        <f aca="false">IF(D12="",0,N(E12)/100*IFERROR(INDEX('Matérias-Primas'!$D$5:$D$45,MATCH(D12,'Matérias-Primas'!$A$5:$A$45,0)),0))+IF(F12="",0,N(G12)/100*IFERROR(INDEX('Matérias-Primas'!$D$5:$D$45,MATCH(F12,'Matérias-Primas'!$A$5:$A$45,0)),0))+IF(H12="",0,N(I12)/100*IFERROR(INDEX('Matérias-Primas'!$D$5:$D$45,MATCH(H12,'Matérias-Primas'!$A$5:$A$45,0)),0))</f>
        <v>1.1</v>
      </c>
      <c r="N12" s="37" t="n">
        <f aca="false">(L12+M12)/(1+(N(E12)+N(G12)+N(I12))/100)</f>
        <v>7.22057368941642</v>
      </c>
      <c r="O12" s="33"/>
    </row>
    <row r="13" customFormat="false" ht="15" hidden="false" customHeight="false" outlineLevel="0" collapsed="false">
      <c r="A13" s="32" t="n">
        <v>9</v>
      </c>
      <c r="B13" s="33" t="s">
        <v>167</v>
      </c>
      <c r="C13" s="32" t="s">
        <v>168</v>
      </c>
      <c r="D13" s="32" t="s">
        <v>77</v>
      </c>
      <c r="E13" s="34" t="n">
        <v>6</v>
      </c>
      <c r="F13" s="32" t="s">
        <v>72</v>
      </c>
      <c r="G13" s="34" t="n">
        <v>2</v>
      </c>
      <c r="H13" s="32"/>
      <c r="I13" s="34"/>
      <c r="J13" s="32" t="s">
        <v>169</v>
      </c>
      <c r="K13" s="32" t="s">
        <v>150</v>
      </c>
      <c r="L13" s="35" t="n">
        <f aca="false">IFERROR(CHOOSE(MATCH(C13,{"A","B","C","D","E"},0),'Base A'!$B$27,'Base B'!$B$27,'Base C'!$B$27,'Base D'!$B$27,'Base E'!$B$27),0)</f>
        <v>9.335</v>
      </c>
      <c r="M13" s="36" t="n">
        <f aca="false">IF(D13="",0,N(E13)/100*IFERROR(INDEX('Matérias-Primas'!$D$5:$D$45,MATCH(D13,'Matérias-Primas'!$A$5:$A$45,0)),0))+IF(F13="",0,N(G13)/100*IFERROR(INDEX('Matérias-Primas'!$D$5:$D$45,MATCH(F13,'Matérias-Primas'!$A$5:$A$45,0)),0))+IF(H13="",0,N(I13)/100*IFERROR(INDEX('Matérias-Primas'!$D$5:$D$45,MATCH(H13,'Matérias-Primas'!$A$5:$A$45,0)),0))</f>
        <v>5.2</v>
      </c>
      <c r="N13" s="37" t="n">
        <f aca="false">(L13+M13)/(1+(N(E13)+N(G13)+N(I13))/100)</f>
        <v>13.4583333333333</v>
      </c>
      <c r="O13" s="33" t="s">
        <v>170</v>
      </c>
    </row>
    <row r="14" customFormat="false" ht="15" hidden="false" customHeight="false" outlineLevel="0" collapsed="false">
      <c r="A14" s="32" t="n">
        <v>10</v>
      </c>
      <c r="B14" s="33" t="s">
        <v>171</v>
      </c>
      <c r="C14" s="32" t="s">
        <v>168</v>
      </c>
      <c r="D14" s="32" t="s">
        <v>69</v>
      </c>
      <c r="E14" s="34" t="n">
        <v>4</v>
      </c>
      <c r="F14" s="32" t="s">
        <v>77</v>
      </c>
      <c r="G14" s="34" t="n">
        <v>2</v>
      </c>
      <c r="H14" s="32" t="s">
        <v>79</v>
      </c>
      <c r="I14" s="34" t="n">
        <v>0.75</v>
      </c>
      <c r="J14" s="32" t="s">
        <v>169</v>
      </c>
      <c r="K14" s="32" t="s">
        <v>150</v>
      </c>
      <c r="L14" s="35" t="n">
        <f aca="false">IFERROR(CHOOSE(MATCH(C14,{"A","B","C","D","E"},0),'Base A'!$B$27,'Base B'!$B$27,'Base C'!$B$27,'Base D'!$B$27,'Base E'!$B$27),0)</f>
        <v>9.335</v>
      </c>
      <c r="M14" s="36" t="n">
        <f aca="false">IF(D14="",0,N(E14)/100*IFERROR(INDEX('Matérias-Primas'!$D$5:$D$45,MATCH(D14,'Matérias-Primas'!$A$5:$A$45,0)),0))+IF(F14="",0,N(G14)/100*IFERROR(INDEX('Matérias-Primas'!$D$5:$D$45,MATCH(F14,'Matérias-Primas'!$A$5:$A$45,0)),0))+IF(H14="",0,N(I14)/100*IFERROR(INDEX('Matérias-Primas'!$D$5:$D$45,MATCH(H14,'Matérias-Primas'!$A$5:$A$45,0)),0))</f>
        <v>3.05</v>
      </c>
      <c r="N14" s="37" t="n">
        <f aca="false">(L14+M14)/(1+(N(E14)+N(G14)+N(I14))/100)</f>
        <v>11.6018735362998</v>
      </c>
      <c r="O14" s="33" t="s">
        <v>172</v>
      </c>
    </row>
    <row r="15" customFormat="false" ht="15" hidden="false" customHeight="false" outlineLevel="0" collapsed="false">
      <c r="A15" s="32" t="n">
        <v>11</v>
      </c>
      <c r="B15" s="33" t="s">
        <v>173</v>
      </c>
      <c r="C15" s="32" t="s">
        <v>148</v>
      </c>
      <c r="D15" s="32" t="s">
        <v>73</v>
      </c>
      <c r="E15" s="34" t="n">
        <v>1</v>
      </c>
      <c r="F15" s="32"/>
      <c r="G15" s="34"/>
      <c r="H15" s="32"/>
      <c r="I15" s="34"/>
      <c r="J15" s="32" t="s">
        <v>149</v>
      </c>
      <c r="K15" s="32" t="s">
        <v>150</v>
      </c>
      <c r="L15" s="35" t="n">
        <f aca="false">IFERROR(CHOOSE(MATCH(C15,{"A","B","C","D","E"},0),'Base A'!$B$27,'Base B'!$B$27,'Base C'!$B$27,'Base D'!$B$27,'Base E'!$B$27),0)</f>
        <v>6.2</v>
      </c>
      <c r="M15" s="36" t="n">
        <f aca="false">IF(D15="",0,N(E15)/100*IFERROR(INDEX('Matérias-Primas'!$D$5:$D$45,MATCH(D15,'Matérias-Primas'!$A$5:$A$45,0)),0))+IF(F15="",0,N(G15)/100*IFERROR(INDEX('Matérias-Primas'!$D$5:$D$45,MATCH(F15,'Matérias-Primas'!$A$5:$A$45,0)),0))+IF(H15="",0,N(I15)/100*IFERROR(INDEX('Matérias-Primas'!$D$5:$D$45,MATCH(H15,'Matérias-Primas'!$A$5:$A$45,0)),0))</f>
        <v>9</v>
      </c>
      <c r="N15" s="37" t="n">
        <f aca="false">(L15+M15)/(1+(N(E15)+N(G15)+N(I15))/100)</f>
        <v>15.049504950495</v>
      </c>
      <c r="O15" s="33"/>
    </row>
    <row r="16" customFormat="false" ht="23.85" hidden="false" customHeight="false" outlineLevel="0" collapsed="false">
      <c r="A16" s="32" t="n">
        <v>12</v>
      </c>
      <c r="B16" s="33" t="s">
        <v>174</v>
      </c>
      <c r="C16" s="32" t="s">
        <v>157</v>
      </c>
      <c r="D16" s="32" t="s">
        <v>75</v>
      </c>
      <c r="E16" s="34" t="n">
        <v>2.5</v>
      </c>
      <c r="F16" s="32"/>
      <c r="G16" s="34"/>
      <c r="H16" s="32"/>
      <c r="I16" s="34"/>
      <c r="J16" s="32" t="s">
        <v>149</v>
      </c>
      <c r="K16" s="32" t="s">
        <v>150</v>
      </c>
      <c r="L16" s="35" t="n">
        <f aca="false">IFERROR(CHOOSE(MATCH(C16,{"A","B","C","D","E"},0),'Base A'!$B$27,'Base B'!$B$27,'Base C'!$B$27,'Base D'!$B$27,'Base E'!$B$27),0)</f>
        <v>8.69</v>
      </c>
      <c r="M16" s="36" t="n">
        <f aca="false">IF(D16="",0,N(E16)/100*IFERROR(INDEX('Matérias-Primas'!$D$5:$D$45,MATCH(D16,'Matérias-Primas'!$A$5:$A$45,0)),0))+IF(F16="",0,N(G16)/100*IFERROR(INDEX('Matérias-Primas'!$D$5:$D$45,MATCH(F16,'Matérias-Primas'!$A$5:$A$45,0)),0))+IF(H16="",0,N(I16)/100*IFERROR(INDEX('Matérias-Primas'!$D$5:$D$45,MATCH(H16,'Matérias-Primas'!$A$5:$A$45,0)),0))</f>
        <v>3.75</v>
      </c>
      <c r="N16" s="37" t="n">
        <f aca="false">(L16+M16)/(1+(N(E16)+N(G16)+N(I16))/100)</f>
        <v>12.1365853658537</v>
      </c>
      <c r="O16" s="33" t="s">
        <v>175</v>
      </c>
    </row>
    <row r="17" customFormat="false" ht="15" hidden="false" customHeight="false" outlineLevel="0" collapsed="false">
      <c r="A17" s="32" t="n">
        <v>13</v>
      </c>
      <c r="B17" s="33" t="s">
        <v>176</v>
      </c>
      <c r="C17" s="32" t="s">
        <v>148</v>
      </c>
      <c r="D17" s="32" t="s">
        <v>83</v>
      </c>
      <c r="E17" s="34" t="n">
        <v>8</v>
      </c>
      <c r="F17" s="32"/>
      <c r="G17" s="34"/>
      <c r="H17" s="32"/>
      <c r="I17" s="34"/>
      <c r="J17" s="32" t="s">
        <v>149</v>
      </c>
      <c r="K17" s="32" t="s">
        <v>150</v>
      </c>
      <c r="L17" s="35" t="n">
        <f aca="false">IFERROR(CHOOSE(MATCH(C17,{"A","B","C","D","E"},0),'Base A'!$B$27,'Base B'!$B$27,'Base C'!$B$27,'Base D'!$B$27,'Base E'!$B$27),0)</f>
        <v>6.2</v>
      </c>
      <c r="M17" s="36" t="n">
        <f aca="false">IF(D17="",0,N(E17)/100*IFERROR(INDEX('Matérias-Primas'!$D$5:$D$45,MATCH(D17,'Matérias-Primas'!$A$5:$A$45,0)),0))+IF(F17="",0,N(G17)/100*IFERROR(INDEX('Matérias-Primas'!$D$5:$D$45,MATCH(F17,'Matérias-Primas'!$A$5:$A$45,0)),0))+IF(H17="",0,N(I17)/100*IFERROR(INDEX('Matérias-Primas'!$D$5:$D$45,MATCH(H17,'Matérias-Primas'!$A$5:$A$45,0)),0))</f>
        <v>20</v>
      </c>
      <c r="N17" s="37" t="n">
        <f aca="false">(L17+M17)/(1+(N(E17)+N(G17)+N(I17))/100)</f>
        <v>24.2592592592593</v>
      </c>
      <c r="O17" s="33"/>
    </row>
    <row r="18" customFormat="false" ht="15" hidden="false" customHeight="false" outlineLevel="0" collapsed="false">
      <c r="A18" s="32" t="n">
        <v>14</v>
      </c>
      <c r="B18" s="33" t="s">
        <v>177</v>
      </c>
      <c r="C18" s="32" t="s">
        <v>153</v>
      </c>
      <c r="D18" s="32" t="s">
        <v>85</v>
      </c>
      <c r="E18" s="34" t="n">
        <v>6</v>
      </c>
      <c r="F18" s="32"/>
      <c r="G18" s="34"/>
      <c r="H18" s="32"/>
      <c r="I18" s="34"/>
      <c r="J18" s="32" t="s">
        <v>154</v>
      </c>
      <c r="K18" s="32" t="s">
        <v>150</v>
      </c>
      <c r="L18" s="35" t="n">
        <f aca="false">IFERROR(CHOOSE(MATCH(C18,{"A","B","C","D","E"},0),'Base A'!$B$27,'Base B'!$B$27,'Base C'!$B$27,'Base D'!$B$27,'Base E'!$B$27),0)</f>
        <v>5.455</v>
      </c>
      <c r="M18" s="36" t="n">
        <f aca="false">IF(D18="",0,N(E18)/100*IFERROR(INDEX('Matérias-Primas'!$D$5:$D$45,MATCH(D18,'Matérias-Primas'!$A$5:$A$45,0)),0))+IF(F18="",0,N(G18)/100*IFERROR(INDEX('Matérias-Primas'!$D$5:$D$45,MATCH(F18,'Matérias-Primas'!$A$5:$A$45,0)),0))+IF(H18="",0,N(I18)/100*IFERROR(INDEX('Matérias-Primas'!$D$5:$D$45,MATCH(H18,'Matérias-Primas'!$A$5:$A$45,0)),0))</f>
        <v>21</v>
      </c>
      <c r="N18" s="37" t="n">
        <f aca="false">(L18+M18)/(1+(N(E18)+N(G18)+N(I18))/100)</f>
        <v>24.9575471698113</v>
      </c>
      <c r="O18" s="33" t="s">
        <v>178</v>
      </c>
    </row>
    <row r="19" customFormat="false" ht="15" hidden="false" customHeight="false" outlineLevel="0" collapsed="false">
      <c r="A19" s="32" t="n">
        <v>15</v>
      </c>
      <c r="B19" s="33" t="s">
        <v>179</v>
      </c>
      <c r="C19" s="32" t="s">
        <v>162</v>
      </c>
      <c r="D19" s="32" t="s">
        <v>72</v>
      </c>
      <c r="E19" s="34" t="n">
        <v>7</v>
      </c>
      <c r="F19" s="32"/>
      <c r="G19" s="34"/>
      <c r="H19" s="32"/>
      <c r="I19" s="34"/>
      <c r="J19" s="32" t="s">
        <v>169</v>
      </c>
      <c r="K19" s="32" t="s">
        <v>150</v>
      </c>
      <c r="L19" s="35" t="n">
        <f aca="false">IFERROR(CHOOSE(MATCH(C19,{"A","B","C","D","E"},0),'Base A'!$B$27,'Base B'!$B$27,'Base C'!$B$27,'Base D'!$B$27,'Base E'!$B$27),0)</f>
        <v>5.315</v>
      </c>
      <c r="M19" s="36" t="n">
        <f aca="false">IF(D19="",0,N(E19)/100*IFERROR(INDEX('Matérias-Primas'!$D$5:$D$45,MATCH(D19,'Matérias-Primas'!$A$5:$A$45,0)),0))+IF(F19="",0,N(G19)/100*IFERROR(INDEX('Matérias-Primas'!$D$5:$D$45,MATCH(F19,'Matérias-Primas'!$A$5:$A$45,0)),0))+IF(H19="",0,N(I19)/100*IFERROR(INDEX('Matérias-Primas'!$D$5:$D$45,MATCH(H19,'Matérias-Primas'!$A$5:$A$45,0)),0))</f>
        <v>1.4</v>
      </c>
      <c r="N19" s="37" t="n">
        <f aca="false">(L19+M19)/(1+(N(E19)+N(G19)+N(I19))/100)</f>
        <v>6.27570093457944</v>
      </c>
      <c r="O19" s="33" t="s">
        <v>180</v>
      </c>
    </row>
    <row r="20" customFormat="false" ht="15" hidden="false" customHeight="false" outlineLevel="0" collapsed="false">
      <c r="A20" s="32" t="n">
        <v>16</v>
      </c>
      <c r="B20" s="33" t="s">
        <v>181</v>
      </c>
      <c r="C20" s="32" t="s">
        <v>168</v>
      </c>
      <c r="D20" s="32" t="s">
        <v>77</v>
      </c>
      <c r="E20" s="34" t="n">
        <v>4</v>
      </c>
      <c r="F20" s="32" t="s">
        <v>72</v>
      </c>
      <c r="G20" s="34" t="n">
        <v>2</v>
      </c>
      <c r="H20" s="32" t="s">
        <v>73</v>
      </c>
      <c r="I20" s="34" t="n">
        <v>1</v>
      </c>
      <c r="J20" s="32" t="s">
        <v>169</v>
      </c>
      <c r="K20" s="32" t="s">
        <v>150</v>
      </c>
      <c r="L20" s="35" t="n">
        <f aca="false">IFERROR(CHOOSE(MATCH(C20,{"A","B","C","D","E"},0),'Base A'!$B$27,'Base B'!$B$27,'Base C'!$B$27,'Base D'!$B$27,'Base E'!$B$27),0)</f>
        <v>9.335</v>
      </c>
      <c r="M20" s="36" t="n">
        <f aca="false">IF(D20="",0,N(E20)/100*IFERROR(INDEX('Matérias-Primas'!$D$5:$D$45,MATCH(D20,'Matérias-Primas'!$A$5:$A$45,0)),0))+IF(F20="",0,N(G20)/100*IFERROR(INDEX('Matérias-Primas'!$D$5:$D$45,MATCH(F20,'Matérias-Primas'!$A$5:$A$45,0)),0))+IF(H20="",0,N(I20)/100*IFERROR(INDEX('Matérias-Primas'!$D$5:$D$45,MATCH(H20,'Matérias-Primas'!$A$5:$A$45,0)),0))</f>
        <v>12.6</v>
      </c>
      <c r="N20" s="37" t="n">
        <f aca="false">(L20+M20)/(1+(N(E20)+N(G20)+N(I20))/100)</f>
        <v>20.5</v>
      </c>
      <c r="O20" s="33" t="s">
        <v>182</v>
      </c>
    </row>
    <row r="21" customFormat="false" ht="15" hidden="false" customHeight="false" outlineLevel="0" collapsed="false">
      <c r="A21" s="32" t="n">
        <v>17</v>
      </c>
      <c r="B21" s="33" t="s">
        <v>183</v>
      </c>
      <c r="C21" s="32" t="s">
        <v>168</v>
      </c>
      <c r="D21" s="32" t="s">
        <v>77</v>
      </c>
      <c r="E21" s="34" t="n">
        <v>3</v>
      </c>
      <c r="F21" s="32" t="s">
        <v>72</v>
      </c>
      <c r="G21" s="34" t="n">
        <v>1.5</v>
      </c>
      <c r="H21" s="32" t="s">
        <v>69</v>
      </c>
      <c r="I21" s="34" t="n">
        <v>2</v>
      </c>
      <c r="J21" s="32" t="s">
        <v>169</v>
      </c>
      <c r="K21" s="32" t="s">
        <v>150</v>
      </c>
      <c r="L21" s="35" t="n">
        <f aca="false">IFERROR(CHOOSE(MATCH(C21,{"A","B","C","D","E"},0),'Base A'!$B$27,'Base B'!$B$27,'Base C'!$B$27,'Base D'!$B$27,'Base E'!$B$27),0)</f>
        <v>9.335</v>
      </c>
      <c r="M21" s="36" t="n">
        <f aca="false">IF(D21="",0,N(E21)/100*IFERROR(INDEX('Matérias-Primas'!$D$5:$D$45,MATCH(D21,'Matérias-Primas'!$A$5:$A$45,0)),0))+IF(F21="",0,N(G21)/100*IFERROR(INDEX('Matérias-Primas'!$D$5:$D$45,MATCH(F21,'Matérias-Primas'!$A$5:$A$45,0)),0))+IF(H21="",0,N(I21)/100*IFERROR(INDEX('Matérias-Primas'!$D$5:$D$45,MATCH(H21,'Matérias-Primas'!$A$5:$A$45,0)),0))</f>
        <v>3.2</v>
      </c>
      <c r="N21" s="37" t="n">
        <f aca="false">(L21+M21)/(1+(N(E21)+N(G21)+N(I21))/100)</f>
        <v>11.7699530516432</v>
      </c>
      <c r="O21" s="33" t="s">
        <v>184</v>
      </c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" hidden="false" customHeight="false" outlineLevel="0" collapsed="false">
      <c r="A23" s="3" t="s">
        <v>185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</sheetData>
  <dataValidations count="4">
    <dataValidation allowBlank="false" errorStyle="stop" operator="between" showDropDown="false" showErrorMessage="false" showInputMessage="false" sqref="C5:C21" type="list">
      <formula1>"A,B,C,D,E"</formula1>
      <formula2>0</formula2>
    </dataValidation>
    <dataValidation allowBlank="true" errorStyle="stop" operator="between" showDropDown="false" showErrorMessage="false" showInputMessage="false" sqref="D5:D21 F5:F21 H5:H21" type="list">
      <formula1>'Matérias-Primas'!$A$5:$A$45</formula1>
      <formula2>0</formula2>
    </dataValidation>
    <dataValidation allowBlank="false" errorStyle="stop" operator="between" showDropDown="false" showErrorMessage="false" showInputMessage="false" sqref="J5:J21" type="list">
      <formula1>"Sim,Recomendado,Não necessário"</formula1>
      <formula2>0</formula2>
    </dataValidation>
    <dataValidation allowBlank="false" errorStyle="stop" operator="between" showDropDown="false" showErrorMessage="false" showInputMessage="false" sqref="K5:K21" type="list">
      <formula1>"Pendente lixiviação,Aprovada,Não (decorativa)"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2"/>
    <col collapsed="false" customWidth="true" hidden="false" outlineLevel="0" max="10" min="3" style="0" width="14"/>
  </cols>
  <sheetData>
    <row r="1" customFormat="false" ht="17.35" hidden="false" customHeight="false" outlineLevel="0" collapsed="false">
      <c r="A1" s="1" t="s">
        <v>186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187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12" t="s">
        <v>188</v>
      </c>
      <c r="B4" s="12" t="s">
        <v>113</v>
      </c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8" t="s">
        <v>189</v>
      </c>
      <c r="B5" s="38" t="n">
        <v>4.5</v>
      </c>
      <c r="C5" s="2"/>
      <c r="D5" s="2"/>
      <c r="E5" s="2"/>
      <c r="F5" s="2"/>
      <c r="G5" s="2"/>
      <c r="H5" s="2"/>
      <c r="I5" s="2"/>
      <c r="J5" s="2"/>
    </row>
    <row r="6" customFormat="false" ht="15" hidden="false" customHeight="false" outlineLevel="0" collapsed="false">
      <c r="A6" s="8" t="s">
        <v>190</v>
      </c>
      <c r="B6" s="38" t="n">
        <v>6.5</v>
      </c>
      <c r="C6" s="2"/>
      <c r="D6" s="2"/>
      <c r="E6" s="2"/>
      <c r="F6" s="2"/>
      <c r="G6" s="2"/>
      <c r="H6" s="2"/>
      <c r="I6" s="2"/>
      <c r="J6" s="2"/>
    </row>
    <row r="7" customFormat="false" ht="15" hidden="false" customHeight="false" outlineLevel="0" collapsed="false">
      <c r="A7" s="8" t="s">
        <v>191</v>
      </c>
      <c r="B7" s="38" t="n">
        <v>8</v>
      </c>
      <c r="C7" s="2"/>
      <c r="D7" s="2"/>
      <c r="E7" s="2"/>
      <c r="F7" s="2"/>
      <c r="G7" s="2"/>
      <c r="H7" s="2"/>
      <c r="I7" s="2"/>
      <c r="J7" s="2"/>
    </row>
    <row r="8" customFormat="false" ht="15" hidden="false" customHeight="false" outlineLevel="0" collapsed="false">
      <c r="A8" s="8" t="s">
        <v>192</v>
      </c>
      <c r="B8" s="38" t="n">
        <v>3</v>
      </c>
      <c r="C8" s="2"/>
      <c r="D8" s="2"/>
      <c r="E8" s="2"/>
      <c r="F8" s="2"/>
      <c r="G8" s="2"/>
      <c r="H8" s="2"/>
      <c r="I8" s="2"/>
      <c r="J8" s="2"/>
    </row>
    <row r="9" customFormat="false" ht="15" hidden="false" customHeight="false" outlineLevel="0" collapsed="false">
      <c r="A9" s="8" t="s">
        <v>193</v>
      </c>
      <c r="B9" s="39" t="n">
        <v>0.1</v>
      </c>
      <c r="C9" s="2"/>
      <c r="D9" s="2"/>
      <c r="E9" s="2"/>
      <c r="F9" s="2"/>
      <c r="G9" s="2"/>
      <c r="H9" s="2"/>
      <c r="I9" s="2"/>
      <c r="J9" s="2"/>
    </row>
    <row r="10" customFormat="false" ht="15" hidden="false" customHeight="false" outlineLevel="0" collapsed="false">
      <c r="A10" s="8" t="s">
        <v>194</v>
      </c>
      <c r="B10" s="39" t="n">
        <v>0.06</v>
      </c>
      <c r="C10" s="2"/>
      <c r="D10" s="2"/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8" t="s">
        <v>195</v>
      </c>
      <c r="B11" s="39" t="n">
        <v>0.15</v>
      </c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8" t="s">
        <v>196</v>
      </c>
      <c r="B12" s="39" t="n">
        <v>0.3</v>
      </c>
      <c r="C12" s="2"/>
      <c r="D12" s="2"/>
      <c r="E12" s="2"/>
      <c r="F12" s="2"/>
      <c r="G12" s="2"/>
      <c r="H12" s="2"/>
      <c r="I12" s="2"/>
      <c r="J12" s="2"/>
    </row>
    <row r="13" customFormat="false" ht="15" hidden="false" customHeight="false" outlineLevel="0" collapsed="false">
      <c r="A13" s="3" t="s">
        <v>197</v>
      </c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customFormat="false" ht="42" hidden="false" customHeight="true" outlineLevel="0" collapsed="false">
      <c r="A15" s="12" t="s">
        <v>133</v>
      </c>
      <c r="B15" s="12" t="s">
        <v>198</v>
      </c>
      <c r="C15" s="12" t="s">
        <v>199</v>
      </c>
      <c r="D15" s="12" t="s">
        <v>200</v>
      </c>
      <c r="E15" s="12" t="s">
        <v>201</v>
      </c>
      <c r="F15" s="12" t="s">
        <v>202</v>
      </c>
      <c r="G15" s="12" t="s">
        <v>203</v>
      </c>
      <c r="H15" s="12" t="s">
        <v>204</v>
      </c>
      <c r="I15" s="12" t="s">
        <v>205</v>
      </c>
      <c r="J15" s="12" t="s">
        <v>206</v>
      </c>
    </row>
    <row r="16" customFormat="false" ht="15" hidden="false" customHeight="false" outlineLevel="0" collapsed="false">
      <c r="A16" s="40" t="n">
        <f aca="false">Cores!A5</f>
        <v>1</v>
      </c>
      <c r="B16" s="40" t="str">
        <f aca="false">Cores!B5</f>
        <v>Transparente brilhante</v>
      </c>
      <c r="C16" s="41" t="n">
        <f aca="false">Cores!N5</f>
        <v>6.2</v>
      </c>
      <c r="D16" s="42" t="n">
        <f aca="false">C16*(1+$B$9)</f>
        <v>6.82</v>
      </c>
      <c r="E16" s="42" t="n">
        <f aca="false">D16+$B$7+$B$8</f>
        <v>17.82</v>
      </c>
      <c r="F16" s="42" t="n">
        <f aca="false">E16*0.5+$B$5</f>
        <v>13.41</v>
      </c>
      <c r="G16" s="43" t="n">
        <f aca="false">IF((1-$B$10-$B$11-$B$12)&lt;=0,"inviável",F16/(1-$B$10-$B$11-$B$12))</f>
        <v>27.3673469387755</v>
      </c>
      <c r="H16" s="42" t="n">
        <f aca="false">E16+$B$6</f>
        <v>24.32</v>
      </c>
      <c r="I16" s="43" t="n">
        <f aca="false">IF((1-$B$10-$B$11-$B$12)&lt;=0,"inviável",H16/(1-$B$10-$B$11-$B$12))</f>
        <v>49.6326530612245</v>
      </c>
      <c r="J16" s="42" t="n">
        <f aca="false">IF(ISNUMBER(I16),I16*$B$12,0)</f>
        <v>14.8897959183673</v>
      </c>
    </row>
    <row r="17" customFormat="false" ht="15" hidden="false" customHeight="false" outlineLevel="0" collapsed="false">
      <c r="A17" s="40" t="n">
        <f aca="false">Cores!A6</f>
        <v>2</v>
      </c>
      <c r="B17" s="40" t="str">
        <f aca="false">Cores!B6</f>
        <v>Transparente mate</v>
      </c>
      <c r="C17" s="41" t="n">
        <f aca="false">Cores!N6</f>
        <v>5.455</v>
      </c>
      <c r="D17" s="42" t="n">
        <f aca="false">C17*(1+$B$9)</f>
        <v>6.0005</v>
      </c>
      <c r="E17" s="42" t="n">
        <f aca="false">D17+$B$7+$B$8</f>
        <v>17.0005</v>
      </c>
      <c r="F17" s="42" t="n">
        <f aca="false">E17*0.5+$B$5</f>
        <v>13.00025</v>
      </c>
      <c r="G17" s="43" t="n">
        <f aca="false">IF((1-$B$10-$B$11-$B$12)&lt;=0,"inviável",F17/(1-$B$10-$B$11-$B$12))</f>
        <v>26.5311224489796</v>
      </c>
      <c r="H17" s="42" t="n">
        <f aca="false">E17+$B$6</f>
        <v>23.5005</v>
      </c>
      <c r="I17" s="43" t="n">
        <f aca="false">IF((1-$B$10-$B$11-$B$12)&lt;=0,"inviável",H17/(1-$B$10-$B$11-$B$12))</f>
        <v>47.9602040816327</v>
      </c>
      <c r="J17" s="42" t="n">
        <f aca="false">IF(ISNUMBER(I17),I17*$B$12,0)</f>
        <v>14.3880612244898</v>
      </c>
    </row>
    <row r="18" customFormat="false" ht="15" hidden="false" customHeight="false" outlineLevel="0" collapsed="false">
      <c r="A18" s="40" t="n">
        <f aca="false">Cores!A7</f>
        <v>3</v>
      </c>
      <c r="B18" s="40" t="str">
        <f aca="false">Cores!B7</f>
        <v>Branco brilhante</v>
      </c>
      <c r="C18" s="41" t="n">
        <f aca="false">Cores!N7</f>
        <v>10.1727272727273</v>
      </c>
      <c r="D18" s="42" t="n">
        <f aca="false">C18*(1+$B$9)</f>
        <v>11.19</v>
      </c>
      <c r="E18" s="42" t="n">
        <f aca="false">D18+$B$7+$B$8</f>
        <v>22.19</v>
      </c>
      <c r="F18" s="42" t="n">
        <f aca="false">E18*0.5+$B$5</f>
        <v>15.595</v>
      </c>
      <c r="G18" s="43" t="n">
        <f aca="false">IF((1-$B$10-$B$11-$B$12)&lt;=0,"inviável",F18/(1-$B$10-$B$11-$B$12))</f>
        <v>31.8265306122449</v>
      </c>
      <c r="H18" s="42" t="n">
        <f aca="false">E18+$B$6</f>
        <v>28.69</v>
      </c>
      <c r="I18" s="43" t="n">
        <f aca="false">IF((1-$B$10-$B$11-$B$12)&lt;=0,"inviável",H18/(1-$B$10-$B$11-$B$12))</f>
        <v>58.5510204081633</v>
      </c>
      <c r="J18" s="42" t="n">
        <f aca="false">IF(ISNUMBER(I18),I18*$B$12,0)</f>
        <v>17.565306122449</v>
      </c>
    </row>
    <row r="19" customFormat="false" ht="15" hidden="false" customHeight="false" outlineLevel="0" collapsed="false">
      <c r="A19" s="40" t="n">
        <f aca="false">Cores!A8</f>
        <v>4</v>
      </c>
      <c r="B19" s="40" t="str">
        <f aca="false">Cores!B8</f>
        <v>Branco acetinado</v>
      </c>
      <c r="C19" s="41" t="n">
        <f aca="false">Cores!N8</f>
        <v>6.90277777777778</v>
      </c>
      <c r="D19" s="42" t="n">
        <f aca="false">C19*(1+$B$9)</f>
        <v>7.59305555555556</v>
      </c>
      <c r="E19" s="42" t="n">
        <f aca="false">D19+$B$7+$B$8</f>
        <v>18.5930555555556</v>
      </c>
      <c r="F19" s="42" t="n">
        <f aca="false">E19*0.5+$B$5</f>
        <v>13.7965277777778</v>
      </c>
      <c r="G19" s="43" t="n">
        <f aca="false">IF((1-$B$10-$B$11-$B$12)&lt;=0,"inviável",F19/(1-$B$10-$B$11-$B$12))</f>
        <v>28.156179138322</v>
      </c>
      <c r="H19" s="42" t="n">
        <f aca="false">E19+$B$6</f>
        <v>25.0930555555556</v>
      </c>
      <c r="I19" s="43" t="n">
        <f aca="false">IF((1-$B$10-$B$11-$B$12)&lt;=0,"inviável",H19/(1-$B$10-$B$11-$B$12))</f>
        <v>51.2103174603175</v>
      </c>
      <c r="J19" s="42" t="n">
        <f aca="false">IF(ISNUMBER(I19),I19*$B$12,0)</f>
        <v>15.3630952380952</v>
      </c>
    </row>
    <row r="20" customFormat="false" ht="15" hidden="false" customHeight="false" outlineLevel="0" collapsed="false">
      <c r="A20" s="40" t="n">
        <f aca="false">Cores!A9</f>
        <v>5</v>
      </c>
      <c r="B20" s="40" t="str">
        <f aca="false">Cores!B9</f>
        <v>Preto brilhante</v>
      </c>
      <c r="C20" s="41" t="n">
        <f aca="false">Cores!N9</f>
        <v>22.1495327102804</v>
      </c>
      <c r="D20" s="42" t="n">
        <f aca="false">C20*(1+$B$9)</f>
        <v>24.3644859813084</v>
      </c>
      <c r="E20" s="42" t="n">
        <f aca="false">D20+$B$7+$B$8</f>
        <v>35.3644859813084</v>
      </c>
      <c r="F20" s="42" t="n">
        <f aca="false">E20*0.5+$B$5</f>
        <v>22.1822429906542</v>
      </c>
      <c r="G20" s="43" t="n">
        <f aca="false">IF((1-$B$10-$B$11-$B$12)&lt;=0,"inviável",F20/(1-$B$10-$B$11-$B$12))</f>
        <v>45.2698836543963</v>
      </c>
      <c r="H20" s="42" t="n">
        <f aca="false">E20+$B$6</f>
        <v>41.8644859813084</v>
      </c>
      <c r="I20" s="43" t="n">
        <f aca="false">IF((1-$B$10-$B$11-$B$12)&lt;=0,"inviável",H20/(1-$B$10-$B$11-$B$12))</f>
        <v>85.4377264924662</v>
      </c>
      <c r="J20" s="42" t="n">
        <f aca="false">IF(ISNUMBER(I20),I20*$B$12,0)</f>
        <v>25.6313179477398</v>
      </c>
    </row>
    <row r="21" customFormat="false" ht="15" hidden="false" customHeight="false" outlineLevel="0" collapsed="false">
      <c r="A21" s="40" t="n">
        <f aca="false">Cores!A10</f>
        <v>6</v>
      </c>
      <c r="B21" s="40" t="str">
        <f aca="false">Cores!B10</f>
        <v>Tenmoku</v>
      </c>
      <c r="C21" s="41" t="n">
        <f aca="false">Cores!N10</f>
        <v>6.65</v>
      </c>
      <c r="D21" s="42" t="n">
        <f aca="false">C21*(1+$B$9)</f>
        <v>7.315</v>
      </c>
      <c r="E21" s="42" t="n">
        <f aca="false">D21+$B$7+$B$8</f>
        <v>18.315</v>
      </c>
      <c r="F21" s="42" t="n">
        <f aca="false">E21*0.5+$B$5</f>
        <v>13.6575</v>
      </c>
      <c r="G21" s="43" t="n">
        <f aca="false">IF((1-$B$10-$B$11-$B$12)&lt;=0,"inviável",F21/(1-$B$10-$B$11-$B$12))</f>
        <v>27.8724489795918</v>
      </c>
      <c r="H21" s="42" t="n">
        <f aca="false">E21+$B$6</f>
        <v>24.815</v>
      </c>
      <c r="I21" s="43" t="n">
        <f aca="false">IF((1-$B$10-$B$11-$B$12)&lt;=0,"inviável",H21/(1-$B$10-$B$11-$B$12))</f>
        <v>50.6428571428571</v>
      </c>
      <c r="J21" s="42" t="n">
        <f aca="false">IF(ISNUMBER(I21),I21*$B$12,0)</f>
        <v>15.1928571428571</v>
      </c>
    </row>
    <row r="22" customFormat="false" ht="15" hidden="false" customHeight="false" outlineLevel="0" collapsed="false">
      <c r="A22" s="40" t="n">
        <f aca="false">Cores!A11</f>
        <v>7</v>
      </c>
      <c r="B22" s="40" t="str">
        <f aca="false">Cores!B11</f>
        <v>Celadon verde</v>
      </c>
      <c r="C22" s="41" t="n">
        <f aca="false">Cores!N11</f>
        <v>6.40394088669951</v>
      </c>
      <c r="D22" s="42" t="n">
        <f aca="false">C22*(1+$B$9)</f>
        <v>7.04433497536946</v>
      </c>
      <c r="E22" s="42" t="n">
        <f aca="false">D22+$B$7+$B$8</f>
        <v>18.0443349753695</v>
      </c>
      <c r="F22" s="42" t="n">
        <f aca="false">E22*0.5+$B$5</f>
        <v>13.5221674876847</v>
      </c>
      <c r="G22" s="43" t="n">
        <f aca="false">IF((1-$B$10-$B$11-$B$12)&lt;=0,"inviável",F22/(1-$B$10-$B$11-$B$12))</f>
        <v>27.5962601789484</v>
      </c>
      <c r="H22" s="42" t="n">
        <f aca="false">E22+$B$6</f>
        <v>24.5443349753695</v>
      </c>
      <c r="I22" s="43" t="n">
        <f aca="false">IF((1-$B$10-$B$11-$B$12)&lt;=0,"inviável",H22/(1-$B$10-$B$11-$B$12))</f>
        <v>50.0904795415703</v>
      </c>
      <c r="J22" s="42" t="n">
        <f aca="false">IF(ISNUMBER(I22),I22*$B$12,0)</f>
        <v>15.0271438624711</v>
      </c>
    </row>
    <row r="23" customFormat="false" ht="15" hidden="false" customHeight="false" outlineLevel="0" collapsed="false">
      <c r="A23" s="40" t="n">
        <f aca="false">Cores!A12</f>
        <v>8</v>
      </c>
      <c r="B23" s="40" t="str">
        <f aca="false">Cores!B12</f>
        <v>Celadon azul</v>
      </c>
      <c r="C23" s="41" t="n">
        <f aca="false">Cores!N12</f>
        <v>7.22057368941642</v>
      </c>
      <c r="D23" s="42" t="n">
        <f aca="false">C23*(1+$B$9)</f>
        <v>7.94263105835806</v>
      </c>
      <c r="E23" s="42" t="n">
        <f aca="false">D23+$B$7+$B$8</f>
        <v>18.9426310583581</v>
      </c>
      <c r="F23" s="42" t="n">
        <f aca="false">E23*0.5+$B$5</f>
        <v>13.971315529179</v>
      </c>
      <c r="G23" s="43" t="n">
        <f aca="false">IF((1-$B$10-$B$11-$B$12)&lt;=0,"inviável",F23/(1-$B$10-$B$11-$B$12))</f>
        <v>28.5128888350593</v>
      </c>
      <c r="H23" s="42" t="n">
        <f aca="false">E23+$B$6</f>
        <v>25.4426310583581</v>
      </c>
      <c r="I23" s="43" t="n">
        <f aca="false">IF((1-$B$10-$B$11-$B$12)&lt;=0,"inviável",H23/(1-$B$10-$B$11-$B$12))</f>
        <v>51.923736853792</v>
      </c>
      <c r="J23" s="42" t="n">
        <f aca="false">IF(ISNUMBER(I23),I23*$B$12,0)</f>
        <v>15.5771210561376</v>
      </c>
    </row>
    <row r="24" customFormat="false" ht="15" hidden="false" customHeight="false" outlineLevel="0" collapsed="false">
      <c r="A24" s="40" t="n">
        <f aca="false">Cores!A13</f>
        <v>9</v>
      </c>
      <c r="B24" s="40" t="str">
        <f aca="false">Cores!B13</f>
        <v>Rutilo mel</v>
      </c>
      <c r="C24" s="41" t="n">
        <f aca="false">Cores!N13</f>
        <v>13.4583333333333</v>
      </c>
      <c r="D24" s="42" t="n">
        <f aca="false">C24*(1+$B$9)</f>
        <v>14.8041666666667</v>
      </c>
      <c r="E24" s="42" t="n">
        <f aca="false">D24+$B$7+$B$8</f>
        <v>25.8041666666667</v>
      </c>
      <c r="F24" s="42" t="n">
        <f aca="false">E24*0.5+$B$5</f>
        <v>17.4020833333333</v>
      </c>
      <c r="G24" s="43" t="n">
        <f aca="false">IF((1-$B$10-$B$11-$B$12)&lt;=0,"inviável",F24/(1-$B$10-$B$11-$B$12))</f>
        <v>35.5144557823129</v>
      </c>
      <c r="H24" s="42" t="n">
        <f aca="false">E24+$B$6</f>
        <v>32.3041666666667</v>
      </c>
      <c r="I24" s="43" t="n">
        <f aca="false">IF((1-$B$10-$B$11-$B$12)&lt;=0,"inviável",H24/(1-$B$10-$B$11-$B$12))</f>
        <v>65.9268707482993</v>
      </c>
      <c r="J24" s="42" t="n">
        <f aca="false">IF(ISNUMBER(I24),I24*$B$12,0)</f>
        <v>19.7780612244898</v>
      </c>
    </row>
    <row r="25" customFormat="false" ht="15" hidden="false" customHeight="false" outlineLevel="0" collapsed="false">
      <c r="A25" s="40" t="n">
        <f aca="false">Cores!A14</f>
        <v>10</v>
      </c>
      <c r="B25" s="40" t="str">
        <f aca="false">Cores!B14</f>
        <v>Creme pintalgado</v>
      </c>
      <c r="C25" s="41" t="n">
        <f aca="false">Cores!N14</f>
        <v>11.6018735362998</v>
      </c>
      <c r="D25" s="42" t="n">
        <f aca="false">C25*(1+$B$9)</f>
        <v>12.7620608899297</v>
      </c>
      <c r="E25" s="42" t="n">
        <f aca="false">D25+$B$7+$B$8</f>
        <v>23.7620608899297</v>
      </c>
      <c r="F25" s="42" t="n">
        <f aca="false">E25*0.5+$B$5</f>
        <v>16.3810304449649</v>
      </c>
      <c r="G25" s="43" t="n">
        <f aca="false">IF((1-$B$10-$B$11-$B$12)&lt;=0,"inviável",F25/(1-$B$10-$B$11-$B$12))</f>
        <v>33.4306743774793</v>
      </c>
      <c r="H25" s="42" t="n">
        <f aca="false">E25+$B$6</f>
        <v>30.2620608899297</v>
      </c>
      <c r="I25" s="43" t="n">
        <f aca="false">IF((1-$B$10-$B$11-$B$12)&lt;=0,"inviável",H25/(1-$B$10-$B$11-$B$12))</f>
        <v>61.7593079386321</v>
      </c>
      <c r="J25" s="42" t="n">
        <f aca="false">IF(ISNUMBER(I25),I25*$B$12,0)</f>
        <v>18.5277923815896</v>
      </c>
    </row>
    <row r="26" customFormat="false" ht="15" hidden="false" customHeight="false" outlineLevel="0" collapsed="false">
      <c r="A26" s="40" t="n">
        <f aca="false">Cores!A15</f>
        <v>11</v>
      </c>
      <c r="B26" s="40" t="str">
        <f aca="false">Cores!B15</f>
        <v>Azul cobalto</v>
      </c>
      <c r="C26" s="41" t="n">
        <f aca="false">Cores!N15</f>
        <v>15.049504950495</v>
      </c>
      <c r="D26" s="42" t="n">
        <f aca="false">C26*(1+$B$9)</f>
        <v>16.5544554455446</v>
      </c>
      <c r="E26" s="42" t="n">
        <f aca="false">D26+$B$7+$B$8</f>
        <v>27.5544554455446</v>
      </c>
      <c r="F26" s="42" t="n">
        <f aca="false">E26*0.5+$B$5</f>
        <v>18.2772277227723</v>
      </c>
      <c r="G26" s="43" t="n">
        <f aca="false">IF((1-$B$10-$B$11-$B$12)&lt;=0,"inviável",F26/(1-$B$10-$B$11-$B$12))</f>
        <v>37.3004647403516</v>
      </c>
      <c r="H26" s="42" t="n">
        <f aca="false">E26+$B$6</f>
        <v>34.0544554455446</v>
      </c>
      <c r="I26" s="43" t="n">
        <f aca="false">IF((1-$B$10-$B$11-$B$12)&lt;=0,"inviável",H26/(1-$B$10-$B$11-$B$12))</f>
        <v>69.4988886643767</v>
      </c>
      <c r="J26" s="42" t="n">
        <f aca="false">IF(ISNUMBER(I26),I26*$B$12,0)</f>
        <v>20.849666599313</v>
      </c>
    </row>
    <row r="27" customFormat="false" ht="15" hidden="false" customHeight="false" outlineLevel="0" collapsed="false">
      <c r="A27" s="40" t="n">
        <f aca="false">Cores!A16</f>
        <v>12</v>
      </c>
      <c r="B27" s="40" t="str">
        <f aca="false">Cores!B16</f>
        <v>Turquesa</v>
      </c>
      <c r="C27" s="41" t="n">
        <f aca="false">Cores!N16</f>
        <v>12.1365853658537</v>
      </c>
      <c r="D27" s="42" t="n">
        <f aca="false">C27*(1+$B$9)</f>
        <v>13.350243902439</v>
      </c>
      <c r="E27" s="42" t="n">
        <f aca="false">D27+$B$7+$B$8</f>
        <v>24.350243902439</v>
      </c>
      <c r="F27" s="42" t="n">
        <f aca="false">E27*0.5+$B$5</f>
        <v>16.6751219512195</v>
      </c>
      <c r="G27" s="43" t="n">
        <f aca="false">IF((1-$B$10-$B$11-$B$12)&lt;=0,"inviável",F27/(1-$B$10-$B$11-$B$12))</f>
        <v>34.0308611249378</v>
      </c>
      <c r="H27" s="42" t="n">
        <f aca="false">E27+$B$6</f>
        <v>30.850243902439</v>
      </c>
      <c r="I27" s="43" t="n">
        <f aca="false">IF((1-$B$10-$B$11-$B$12)&lt;=0,"inviável",H27/(1-$B$10-$B$11-$B$12))</f>
        <v>62.959681433549</v>
      </c>
      <c r="J27" s="42" t="n">
        <f aca="false">IF(ISNUMBER(I27),I27*$B$12,0)</f>
        <v>18.8879044300647</v>
      </c>
    </row>
    <row r="28" customFormat="false" ht="15" hidden="false" customHeight="false" outlineLevel="0" collapsed="false">
      <c r="A28" s="40" t="n">
        <f aca="false">Cores!A17</f>
        <v>13</v>
      </c>
      <c r="B28" s="40" t="str">
        <f aca="false">Cores!B17</f>
        <v>Amarelo</v>
      </c>
      <c r="C28" s="41" t="n">
        <f aca="false">Cores!N17</f>
        <v>24.2592592592593</v>
      </c>
      <c r="D28" s="42" t="n">
        <f aca="false">C28*(1+$B$9)</f>
        <v>26.6851851851852</v>
      </c>
      <c r="E28" s="42" t="n">
        <f aca="false">D28+$B$7+$B$8</f>
        <v>37.6851851851852</v>
      </c>
      <c r="F28" s="42" t="n">
        <f aca="false">E28*0.5+$B$5</f>
        <v>23.3425925925926</v>
      </c>
      <c r="G28" s="43" t="n">
        <f aca="false">IF((1-$B$10-$B$11-$B$12)&lt;=0,"inviável",F28/(1-$B$10-$B$11-$B$12))</f>
        <v>47.6379440665155</v>
      </c>
      <c r="H28" s="42" t="n">
        <f aca="false">E28+$B$6</f>
        <v>44.1851851851852</v>
      </c>
      <c r="I28" s="43" t="n">
        <f aca="false">IF((1-$B$10-$B$11-$B$12)&lt;=0,"inviável",H28/(1-$B$10-$B$11-$B$12))</f>
        <v>90.1738473167045</v>
      </c>
      <c r="J28" s="42" t="n">
        <f aca="false">IF(ISNUMBER(I28),I28*$B$12,0)</f>
        <v>27.0521541950113</v>
      </c>
    </row>
    <row r="29" customFormat="false" ht="15" hidden="false" customHeight="false" outlineLevel="0" collapsed="false">
      <c r="A29" s="40" t="n">
        <f aca="false">Cores!A18</f>
        <v>14</v>
      </c>
      <c r="B29" s="40" t="str">
        <f aca="false">Cores!B18</f>
        <v>Rosa coral</v>
      </c>
      <c r="C29" s="41" t="n">
        <f aca="false">Cores!N18</f>
        <v>24.9575471698113</v>
      </c>
      <c r="D29" s="42" t="n">
        <f aca="false">C29*(1+$B$9)</f>
        <v>27.4533018867925</v>
      </c>
      <c r="E29" s="42" t="n">
        <f aca="false">D29+$B$7+$B$8</f>
        <v>38.4533018867925</v>
      </c>
      <c r="F29" s="42" t="n">
        <f aca="false">E29*0.5+$B$5</f>
        <v>23.7266509433962</v>
      </c>
      <c r="G29" s="43" t="n">
        <f aca="false">IF((1-$B$10-$B$11-$B$12)&lt;=0,"inviável",F29/(1-$B$10-$B$11-$B$12))</f>
        <v>48.421736619176</v>
      </c>
      <c r="H29" s="42" t="n">
        <f aca="false">E29+$B$6</f>
        <v>44.9533018867925</v>
      </c>
      <c r="I29" s="43" t="n">
        <f aca="false">IF((1-$B$10-$B$11-$B$12)&lt;=0,"inviável",H29/(1-$B$10-$B$11-$B$12))</f>
        <v>91.7414324220254</v>
      </c>
      <c r="J29" s="42" t="n">
        <f aca="false">IF(ISNUMBER(I29),I29*$B$12,0)</f>
        <v>27.5224297266076</v>
      </c>
    </row>
    <row r="30" customFormat="false" ht="15" hidden="false" customHeight="false" outlineLevel="0" collapsed="false">
      <c r="A30" s="40" t="n">
        <f aca="false">Cores!A19</f>
        <v>15</v>
      </c>
      <c r="B30" s="40" t="str">
        <f aca="false">Cores!B19</f>
        <v>Ferrugem</v>
      </c>
      <c r="C30" s="41" t="n">
        <f aca="false">Cores!N19</f>
        <v>6.27570093457944</v>
      </c>
      <c r="D30" s="42" t="n">
        <f aca="false">C30*(1+$B$9)</f>
        <v>6.90327102803738</v>
      </c>
      <c r="E30" s="42" t="n">
        <f aca="false">D30+$B$7+$B$8</f>
        <v>17.9032710280374</v>
      </c>
      <c r="F30" s="42" t="n">
        <f aca="false">E30*0.5+$B$5</f>
        <v>13.4516355140187</v>
      </c>
      <c r="G30" s="43" t="n">
        <f aca="false">IF((1-$B$10-$B$11-$B$12)&lt;=0,"inviável",F30/(1-$B$10-$B$11-$B$12))</f>
        <v>27.4523173755484</v>
      </c>
      <c r="H30" s="42" t="n">
        <f aca="false">E30+$B$6</f>
        <v>24.4032710280374</v>
      </c>
      <c r="I30" s="43" t="n">
        <f aca="false">IF((1-$B$10-$B$11-$B$12)&lt;=0,"inviável",H30/(1-$B$10-$B$11-$B$12))</f>
        <v>49.8025939347702</v>
      </c>
      <c r="J30" s="42" t="n">
        <f aca="false">IF(ISNUMBER(I30),I30*$B$12,0)</f>
        <v>14.9407781804311</v>
      </c>
    </row>
    <row r="31" customFormat="false" ht="15" hidden="false" customHeight="false" outlineLevel="0" collapsed="false">
      <c r="A31" s="40" t="n">
        <f aca="false">Cores!A20</f>
        <v>16</v>
      </c>
      <c r="B31" s="40" t="str">
        <f aca="false">Cores!B20</f>
        <v>Azul flutuante</v>
      </c>
      <c r="C31" s="41" t="n">
        <f aca="false">Cores!N20</f>
        <v>20.5</v>
      </c>
      <c r="D31" s="42" t="n">
        <f aca="false">C31*(1+$B$9)</f>
        <v>22.55</v>
      </c>
      <c r="E31" s="42" t="n">
        <f aca="false">D31+$B$7+$B$8</f>
        <v>33.55</v>
      </c>
      <c r="F31" s="42" t="n">
        <f aca="false">E31*0.5+$B$5</f>
        <v>21.275</v>
      </c>
      <c r="G31" s="43" t="n">
        <f aca="false">IF((1-$B$10-$B$11-$B$12)&lt;=0,"inviável",F31/(1-$B$10-$B$11-$B$12))</f>
        <v>43.4183673469388</v>
      </c>
      <c r="H31" s="42" t="n">
        <f aca="false">E31+$B$6</f>
        <v>40.05</v>
      </c>
      <c r="I31" s="43" t="n">
        <f aca="false">IF((1-$B$10-$B$11-$B$12)&lt;=0,"inviável",H31/(1-$B$10-$B$11-$B$12))</f>
        <v>81.734693877551</v>
      </c>
      <c r="J31" s="42" t="n">
        <f aca="false">IF(ISNUMBER(I31),I31*$B$12,0)</f>
        <v>24.5204081632653</v>
      </c>
    </row>
    <row r="32" customFormat="false" ht="15" hidden="false" customHeight="false" outlineLevel="0" collapsed="false">
      <c r="A32" s="40" t="n">
        <f aca="false">Cores!A21</f>
        <v>17</v>
      </c>
      <c r="B32" s="40" t="str">
        <f aca="false">Cores!B21</f>
        <v>Imitação de cinza</v>
      </c>
      <c r="C32" s="41" t="n">
        <f aca="false">Cores!N21</f>
        <v>11.7699530516432</v>
      </c>
      <c r="D32" s="42" t="n">
        <f aca="false">C32*(1+$B$9)</f>
        <v>12.9469483568075</v>
      </c>
      <c r="E32" s="42" t="n">
        <f aca="false">D32+$B$7+$B$8</f>
        <v>23.9469483568075</v>
      </c>
      <c r="F32" s="42" t="n">
        <f aca="false">E32*0.5+$B$5</f>
        <v>16.4734741784038</v>
      </c>
      <c r="G32" s="43" t="n">
        <f aca="false">IF((1-$B$10-$B$11-$B$12)&lt;=0,"inviável",F32/(1-$B$10-$B$11-$B$12))</f>
        <v>33.6193350579669</v>
      </c>
      <c r="H32" s="42" t="n">
        <f aca="false">E32+$B$6</f>
        <v>30.4469483568075</v>
      </c>
      <c r="I32" s="43" t="n">
        <f aca="false">IF((1-$B$10-$B$11-$B$12)&lt;=0,"inviável",H32/(1-$B$10-$B$11-$B$12))</f>
        <v>62.1366292996072</v>
      </c>
      <c r="J32" s="42" t="n">
        <f aca="false">IF(ISNUMBER(I32),I32*$B$12,0)</f>
        <v>18.6409887898822</v>
      </c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5" hidden="false" customHeight="false" outlineLevel="0" collapsed="false">
      <c r="A34" s="2"/>
      <c r="B34" s="5" t="s">
        <v>207</v>
      </c>
      <c r="C34" s="31" t="n">
        <f aca="false">AVERAGE(C16:C32)</f>
        <v>12.4213711728339</v>
      </c>
      <c r="D34" s="31" t="n">
        <f aca="false">AVERAGE(D16:D32)</f>
        <v>13.6635082901173</v>
      </c>
      <c r="E34" s="31" t="n">
        <f aca="false">AVERAGE(E16:E32)</f>
        <v>24.6635082901173</v>
      </c>
      <c r="F34" s="31" t="n">
        <f aca="false">AVERAGE(F16:F32)</f>
        <v>16.8317541450586</v>
      </c>
      <c r="G34" s="31" t="n">
        <f aca="false">AVERAGE(G16:G32)</f>
        <v>34.350518663385</v>
      </c>
      <c r="H34" s="31" t="n">
        <f aca="false">AVERAGE(H16:H32)</f>
        <v>31.1635082901173</v>
      </c>
      <c r="I34" s="31" t="n">
        <f aca="false">AVERAGE(I16:I32)</f>
        <v>63.5989965104435</v>
      </c>
      <c r="J34" s="31" t="n">
        <f aca="false">AVERAGE(J16:J32)</f>
        <v>19.079698953133</v>
      </c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3" t="s">
        <v>208</v>
      </c>
      <c r="B36" s="2"/>
      <c r="C36" s="2"/>
      <c r="D36" s="2"/>
      <c r="E36" s="2"/>
      <c r="F36" s="2"/>
      <c r="G36" s="2"/>
      <c r="H36" s="2"/>
      <c r="I36" s="2"/>
      <c r="J3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4" min="3" style="0" width="7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17"/>
    <col collapsed="false" customWidth="true" hidden="false" outlineLevel="0" max="11" min="9" style="0" width="10"/>
    <col collapsed="false" customWidth="true" hidden="false" outlineLevel="0" max="13" min="12" style="0" width="11"/>
    <col collapsed="false" customWidth="true" hidden="false" outlineLevel="0" max="14" min="14" style="0" width="12"/>
    <col collapsed="false" customWidth="true" hidden="false" outlineLevel="0" max="16" min="15" style="0" width="11"/>
    <col collapsed="false" customWidth="true" hidden="false" outlineLevel="0" max="17" min="17" style="0" width="2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209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5" hidden="false" customHeight="false" outlineLevel="0" collapsed="false">
      <c r="A2" s="3" t="s">
        <v>210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42" hidden="false" customHeight="true" outlineLevel="0" collapsed="false">
      <c r="A4" s="12" t="s">
        <v>211</v>
      </c>
      <c r="B4" s="12" t="s">
        <v>212</v>
      </c>
      <c r="C4" s="12" t="s">
        <v>213</v>
      </c>
      <c r="D4" s="12" t="s">
        <v>214</v>
      </c>
      <c r="E4" s="12" t="s">
        <v>198</v>
      </c>
      <c r="F4" s="12" t="s">
        <v>215</v>
      </c>
      <c r="G4" s="12" t="s">
        <v>216</v>
      </c>
      <c r="H4" s="12" t="s">
        <v>217</v>
      </c>
      <c r="I4" s="12" t="s">
        <v>218</v>
      </c>
      <c r="J4" s="12" t="s">
        <v>219</v>
      </c>
      <c r="K4" s="12" t="s">
        <v>220</v>
      </c>
      <c r="L4" s="12" t="s">
        <v>221</v>
      </c>
      <c r="M4" s="12" t="s">
        <v>222</v>
      </c>
      <c r="N4" s="12" t="s">
        <v>223</v>
      </c>
      <c r="O4" s="12" t="s">
        <v>224</v>
      </c>
      <c r="P4" s="12" t="s">
        <v>225</v>
      </c>
      <c r="Q4" s="12" t="s">
        <v>226</v>
      </c>
      <c r="R4" s="12" t="s">
        <v>146</v>
      </c>
    </row>
    <row r="5" customFormat="false" ht="15" hidden="false" customHeight="false" outlineLevel="0" collapsed="false">
      <c r="A5" s="44" t="n">
        <v>1</v>
      </c>
      <c r="B5" s="45" t="s">
        <v>227</v>
      </c>
      <c r="C5" s="45" t="s">
        <v>228</v>
      </c>
      <c r="D5" s="46" t="n">
        <v>1</v>
      </c>
      <c r="E5" s="47" t="str">
        <f aca="false">IFERROR(INDEX(Cores!$B$5:$B$21,MATCH(D5,Cores!$A$5:$A$21,0)),"")</f>
        <v>Transparente brilhante</v>
      </c>
      <c r="F5" s="46" t="s">
        <v>229</v>
      </c>
      <c r="G5" s="46" t="s">
        <v>230</v>
      </c>
      <c r="H5" s="46" t="s">
        <v>231</v>
      </c>
      <c r="I5" s="45" t="s">
        <v>169</v>
      </c>
      <c r="J5" s="45" t="n">
        <v>1225</v>
      </c>
      <c r="K5" s="45" t="n">
        <v>4</v>
      </c>
      <c r="L5" s="45" t="s">
        <v>232</v>
      </c>
      <c r="M5" s="45" t="s">
        <v>233</v>
      </c>
      <c r="N5" s="45" t="s">
        <v>232</v>
      </c>
      <c r="O5" s="45" t="s">
        <v>232</v>
      </c>
      <c r="P5" s="45" t="s">
        <v>234</v>
      </c>
      <c r="Q5" s="45" t="s">
        <v>235</v>
      </c>
      <c r="R5" s="45" t="s">
        <v>236</v>
      </c>
    </row>
    <row r="6" customFormat="false" ht="15" hidden="false" customHeight="false" outlineLevel="0" collapsed="false">
      <c r="A6" s="30" t="n">
        <v>2</v>
      </c>
      <c r="B6" s="13"/>
      <c r="C6" s="13"/>
      <c r="D6" s="13" t="n">
        <v>1</v>
      </c>
      <c r="E6" s="40" t="str">
        <f aca="false">IFERROR(INDEX(Cores!$B$5:$B$21,MATCH(D6,Cores!$A$5:$A$21,0)),"")</f>
        <v>Transparente brilhante</v>
      </c>
      <c r="F6" s="13" t="s">
        <v>229</v>
      </c>
      <c r="G6" s="13" t="s">
        <v>230</v>
      </c>
      <c r="H6" s="13" t="s">
        <v>237</v>
      </c>
      <c r="I6" s="13"/>
      <c r="J6" s="13"/>
      <c r="K6" s="13"/>
      <c r="L6" s="13"/>
      <c r="M6" s="13"/>
      <c r="N6" s="13"/>
      <c r="O6" s="13"/>
      <c r="P6" s="13"/>
      <c r="Q6" s="13"/>
      <c r="R6" s="13"/>
    </row>
    <row r="7" customFormat="false" ht="15" hidden="false" customHeight="false" outlineLevel="0" collapsed="false">
      <c r="A7" s="30" t="n">
        <v>3</v>
      </c>
      <c r="B7" s="13"/>
      <c r="C7" s="13"/>
      <c r="D7" s="13" t="n">
        <v>1</v>
      </c>
      <c r="E7" s="40" t="str">
        <f aca="false">IFERROR(INDEX(Cores!$B$5:$B$21,MATCH(D7,Cores!$A$5:$A$21,0)),"")</f>
        <v>Transparente brilhante</v>
      </c>
      <c r="F7" s="13" t="s">
        <v>229</v>
      </c>
      <c r="G7" s="13" t="s">
        <v>238</v>
      </c>
      <c r="H7" s="13" t="s">
        <v>231</v>
      </c>
      <c r="I7" s="13"/>
      <c r="J7" s="13"/>
      <c r="K7" s="13"/>
      <c r="L7" s="13"/>
      <c r="M7" s="13"/>
      <c r="N7" s="13"/>
      <c r="O7" s="13"/>
      <c r="P7" s="13"/>
      <c r="Q7" s="13"/>
      <c r="R7" s="13"/>
    </row>
    <row r="8" customFormat="false" ht="15" hidden="false" customHeight="false" outlineLevel="0" collapsed="false">
      <c r="A8" s="30" t="n">
        <v>4</v>
      </c>
      <c r="B8" s="13"/>
      <c r="C8" s="13"/>
      <c r="D8" s="13" t="n">
        <v>1</v>
      </c>
      <c r="E8" s="40" t="str">
        <f aca="false">IFERROR(INDEX(Cores!$B$5:$B$21,MATCH(D8,Cores!$A$5:$A$21,0)),"")</f>
        <v>Transparente brilhante</v>
      </c>
      <c r="F8" s="13" t="s">
        <v>229</v>
      </c>
      <c r="G8" s="13" t="s">
        <v>238</v>
      </c>
      <c r="H8" s="13" t="s">
        <v>237</v>
      </c>
      <c r="I8" s="13"/>
      <c r="J8" s="13"/>
      <c r="K8" s="13"/>
      <c r="L8" s="13"/>
      <c r="M8" s="13"/>
      <c r="N8" s="13"/>
      <c r="O8" s="13"/>
      <c r="P8" s="13"/>
      <c r="Q8" s="13"/>
      <c r="R8" s="13"/>
    </row>
    <row r="9" customFormat="false" ht="15" hidden="false" customHeight="false" outlineLevel="0" collapsed="false">
      <c r="A9" s="30" t="n">
        <v>5</v>
      </c>
      <c r="B9" s="13"/>
      <c r="C9" s="13"/>
      <c r="D9" s="13" t="n">
        <v>1</v>
      </c>
      <c r="E9" s="40" t="str">
        <f aca="false">IFERROR(INDEX(Cores!$B$5:$B$21,MATCH(D9,Cores!$A$5:$A$21,0)),"")</f>
        <v>Transparente brilhante</v>
      </c>
      <c r="F9" s="13" t="s">
        <v>239</v>
      </c>
      <c r="G9" s="13" t="s">
        <v>230</v>
      </c>
      <c r="H9" s="13" t="s">
        <v>231</v>
      </c>
      <c r="I9" s="13"/>
      <c r="J9" s="13"/>
      <c r="K9" s="13"/>
      <c r="L9" s="13"/>
      <c r="M9" s="13"/>
      <c r="N9" s="13"/>
      <c r="O9" s="13"/>
      <c r="P9" s="13"/>
      <c r="Q9" s="13"/>
      <c r="R9" s="13"/>
    </row>
    <row r="10" customFormat="false" ht="15" hidden="false" customHeight="false" outlineLevel="0" collapsed="false">
      <c r="A10" s="30" t="n">
        <v>6</v>
      </c>
      <c r="B10" s="13"/>
      <c r="C10" s="13"/>
      <c r="D10" s="13" t="n">
        <v>1</v>
      </c>
      <c r="E10" s="40" t="str">
        <f aca="false">IFERROR(INDEX(Cores!$B$5:$B$21,MATCH(D10,Cores!$A$5:$A$21,0)),"")</f>
        <v>Transparente brilhante</v>
      </c>
      <c r="F10" s="13" t="s">
        <v>239</v>
      </c>
      <c r="G10" s="13" t="s">
        <v>230</v>
      </c>
      <c r="H10" s="13" t="s">
        <v>237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</row>
    <row r="11" customFormat="false" ht="15" hidden="false" customHeight="false" outlineLevel="0" collapsed="false">
      <c r="A11" s="30" t="n">
        <v>7</v>
      </c>
      <c r="B11" s="13"/>
      <c r="C11" s="13"/>
      <c r="D11" s="13" t="n">
        <v>1</v>
      </c>
      <c r="E11" s="40" t="str">
        <f aca="false">IFERROR(INDEX(Cores!$B$5:$B$21,MATCH(D11,Cores!$A$5:$A$21,0)),"")</f>
        <v>Transparente brilhante</v>
      </c>
      <c r="F11" s="13" t="s">
        <v>239</v>
      </c>
      <c r="G11" s="13" t="s">
        <v>238</v>
      </c>
      <c r="H11" s="13" t="s">
        <v>231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customFormat="false" ht="15" hidden="false" customHeight="false" outlineLevel="0" collapsed="false">
      <c r="A12" s="30" t="n">
        <v>8</v>
      </c>
      <c r="B12" s="13"/>
      <c r="C12" s="13"/>
      <c r="D12" s="13" t="n">
        <v>1</v>
      </c>
      <c r="E12" s="40" t="str">
        <f aca="false">IFERROR(INDEX(Cores!$B$5:$B$21,MATCH(D12,Cores!$A$5:$A$21,0)),"")</f>
        <v>Transparente brilhante</v>
      </c>
      <c r="F12" s="13" t="s">
        <v>239</v>
      </c>
      <c r="G12" s="13" t="s">
        <v>238</v>
      </c>
      <c r="H12" s="13" t="s">
        <v>237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customFormat="false" ht="15" hidden="false" customHeight="false" outlineLevel="0" collapsed="false">
      <c r="A13" s="30" t="n">
        <v>9</v>
      </c>
      <c r="B13" s="13"/>
      <c r="C13" s="13"/>
      <c r="D13" s="13" t="n">
        <v>2</v>
      </c>
      <c r="E13" s="40" t="str">
        <f aca="false">IFERROR(INDEX(Cores!$B$5:$B$21,MATCH(D13,Cores!$A$5:$A$21,0)),"")</f>
        <v>Transparente mate</v>
      </c>
      <c r="F13" s="13" t="s">
        <v>229</v>
      </c>
      <c r="G13" s="13" t="s">
        <v>230</v>
      </c>
      <c r="H13" s="13" t="s">
        <v>231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</row>
    <row r="14" customFormat="false" ht="15" hidden="false" customHeight="false" outlineLevel="0" collapsed="false">
      <c r="A14" s="30" t="n">
        <v>10</v>
      </c>
      <c r="B14" s="13"/>
      <c r="C14" s="13"/>
      <c r="D14" s="13" t="n">
        <v>2</v>
      </c>
      <c r="E14" s="40" t="str">
        <f aca="false">IFERROR(INDEX(Cores!$B$5:$B$21,MATCH(D14,Cores!$A$5:$A$21,0)),"")</f>
        <v>Transparente mate</v>
      </c>
      <c r="F14" s="13" t="s">
        <v>229</v>
      </c>
      <c r="G14" s="13" t="s">
        <v>230</v>
      </c>
      <c r="H14" s="13" t="s">
        <v>237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</row>
    <row r="15" customFormat="false" ht="15" hidden="false" customHeight="false" outlineLevel="0" collapsed="false">
      <c r="A15" s="30" t="n">
        <v>11</v>
      </c>
      <c r="B15" s="13"/>
      <c r="C15" s="13"/>
      <c r="D15" s="13" t="n">
        <v>2</v>
      </c>
      <c r="E15" s="40" t="str">
        <f aca="false">IFERROR(INDEX(Cores!$B$5:$B$21,MATCH(D15,Cores!$A$5:$A$21,0)),"")</f>
        <v>Transparente mate</v>
      </c>
      <c r="F15" s="13" t="s">
        <v>229</v>
      </c>
      <c r="G15" s="13" t="s">
        <v>238</v>
      </c>
      <c r="H15" s="13" t="s">
        <v>231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customFormat="false" ht="15" hidden="false" customHeight="false" outlineLevel="0" collapsed="false">
      <c r="A16" s="30" t="n">
        <v>12</v>
      </c>
      <c r="B16" s="13"/>
      <c r="C16" s="13"/>
      <c r="D16" s="13" t="n">
        <v>2</v>
      </c>
      <c r="E16" s="40" t="str">
        <f aca="false">IFERROR(INDEX(Cores!$B$5:$B$21,MATCH(D16,Cores!$A$5:$A$21,0)),"")</f>
        <v>Transparente mate</v>
      </c>
      <c r="F16" s="13" t="s">
        <v>229</v>
      </c>
      <c r="G16" s="13" t="s">
        <v>238</v>
      </c>
      <c r="H16" s="13" t="s">
        <v>237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</row>
    <row r="17" customFormat="false" ht="15" hidden="false" customHeight="false" outlineLevel="0" collapsed="false">
      <c r="A17" s="30" t="n">
        <v>13</v>
      </c>
      <c r="B17" s="13"/>
      <c r="C17" s="13"/>
      <c r="D17" s="13" t="n">
        <v>2</v>
      </c>
      <c r="E17" s="40" t="str">
        <f aca="false">IFERROR(INDEX(Cores!$B$5:$B$21,MATCH(D17,Cores!$A$5:$A$21,0)),"")</f>
        <v>Transparente mate</v>
      </c>
      <c r="F17" s="13" t="s">
        <v>239</v>
      </c>
      <c r="G17" s="13" t="s">
        <v>230</v>
      </c>
      <c r="H17" s="13" t="s">
        <v>231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</row>
    <row r="18" customFormat="false" ht="15" hidden="false" customHeight="false" outlineLevel="0" collapsed="false">
      <c r="A18" s="30" t="n">
        <v>14</v>
      </c>
      <c r="B18" s="13"/>
      <c r="C18" s="13"/>
      <c r="D18" s="13" t="n">
        <v>2</v>
      </c>
      <c r="E18" s="40" t="str">
        <f aca="false">IFERROR(INDEX(Cores!$B$5:$B$21,MATCH(D18,Cores!$A$5:$A$21,0)),"")</f>
        <v>Transparente mate</v>
      </c>
      <c r="F18" s="13" t="s">
        <v>239</v>
      </c>
      <c r="G18" s="13" t="s">
        <v>230</v>
      </c>
      <c r="H18" s="13" t="s">
        <v>237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customFormat="false" ht="15" hidden="false" customHeight="false" outlineLevel="0" collapsed="false">
      <c r="A19" s="30" t="n">
        <v>15</v>
      </c>
      <c r="B19" s="13"/>
      <c r="C19" s="13"/>
      <c r="D19" s="13" t="n">
        <v>2</v>
      </c>
      <c r="E19" s="40" t="str">
        <f aca="false">IFERROR(INDEX(Cores!$B$5:$B$21,MATCH(D19,Cores!$A$5:$A$21,0)),"")</f>
        <v>Transparente mate</v>
      </c>
      <c r="F19" s="13" t="s">
        <v>239</v>
      </c>
      <c r="G19" s="13" t="s">
        <v>238</v>
      </c>
      <c r="H19" s="13" t="s">
        <v>231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</row>
    <row r="20" customFormat="false" ht="15" hidden="false" customHeight="false" outlineLevel="0" collapsed="false">
      <c r="A20" s="30" t="n">
        <v>16</v>
      </c>
      <c r="B20" s="13"/>
      <c r="C20" s="13"/>
      <c r="D20" s="13" t="n">
        <v>2</v>
      </c>
      <c r="E20" s="40" t="str">
        <f aca="false">IFERROR(INDEX(Cores!$B$5:$B$21,MATCH(D20,Cores!$A$5:$A$21,0)),"")</f>
        <v>Transparente mate</v>
      </c>
      <c r="F20" s="13" t="s">
        <v>239</v>
      </c>
      <c r="G20" s="13" t="s">
        <v>238</v>
      </c>
      <c r="H20" s="13" t="s">
        <v>237</v>
      </c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customFormat="false" ht="15" hidden="false" customHeight="false" outlineLevel="0" collapsed="false">
      <c r="A21" s="30" t="n">
        <v>17</v>
      </c>
      <c r="B21" s="13"/>
      <c r="C21" s="13"/>
      <c r="D21" s="13" t="n">
        <v>3</v>
      </c>
      <c r="E21" s="40" t="str">
        <f aca="false">IFERROR(INDEX(Cores!$B$5:$B$21,MATCH(D21,Cores!$A$5:$A$21,0)),"")</f>
        <v>Branco brilhante</v>
      </c>
      <c r="F21" s="13" t="s">
        <v>229</v>
      </c>
      <c r="G21" s="13" t="s">
        <v>230</v>
      </c>
      <c r="H21" s="13" t="s">
        <v>231</v>
      </c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customFormat="false" ht="15" hidden="false" customHeight="false" outlineLevel="0" collapsed="false">
      <c r="A22" s="30" t="n">
        <v>18</v>
      </c>
      <c r="B22" s="13"/>
      <c r="C22" s="13"/>
      <c r="D22" s="13" t="n">
        <v>3</v>
      </c>
      <c r="E22" s="40" t="str">
        <f aca="false">IFERROR(INDEX(Cores!$B$5:$B$21,MATCH(D22,Cores!$A$5:$A$21,0)),"")</f>
        <v>Branco brilhante</v>
      </c>
      <c r="F22" s="13" t="s">
        <v>229</v>
      </c>
      <c r="G22" s="13" t="s">
        <v>230</v>
      </c>
      <c r="H22" s="13" t="s">
        <v>237</v>
      </c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customFormat="false" ht="15" hidden="false" customHeight="false" outlineLevel="0" collapsed="false">
      <c r="A23" s="30" t="n">
        <v>19</v>
      </c>
      <c r="B23" s="13"/>
      <c r="C23" s="13"/>
      <c r="D23" s="13" t="n">
        <v>3</v>
      </c>
      <c r="E23" s="40" t="str">
        <f aca="false">IFERROR(INDEX(Cores!$B$5:$B$21,MATCH(D23,Cores!$A$5:$A$21,0)),"")</f>
        <v>Branco brilhante</v>
      </c>
      <c r="F23" s="13" t="s">
        <v>229</v>
      </c>
      <c r="G23" s="13" t="s">
        <v>238</v>
      </c>
      <c r="H23" s="13" t="s">
        <v>231</v>
      </c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customFormat="false" ht="15" hidden="false" customHeight="false" outlineLevel="0" collapsed="false">
      <c r="A24" s="30" t="n">
        <v>20</v>
      </c>
      <c r="B24" s="13"/>
      <c r="C24" s="13"/>
      <c r="D24" s="13" t="n">
        <v>3</v>
      </c>
      <c r="E24" s="40" t="str">
        <f aca="false">IFERROR(INDEX(Cores!$B$5:$B$21,MATCH(D24,Cores!$A$5:$A$21,0)),"")</f>
        <v>Branco brilhante</v>
      </c>
      <c r="F24" s="13" t="s">
        <v>229</v>
      </c>
      <c r="G24" s="13" t="s">
        <v>238</v>
      </c>
      <c r="H24" s="13" t="s">
        <v>237</v>
      </c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customFormat="false" ht="15" hidden="false" customHeight="false" outlineLevel="0" collapsed="false">
      <c r="A25" s="30" t="n">
        <v>21</v>
      </c>
      <c r="B25" s="13"/>
      <c r="C25" s="13"/>
      <c r="D25" s="13" t="n">
        <v>3</v>
      </c>
      <c r="E25" s="40" t="str">
        <f aca="false">IFERROR(INDEX(Cores!$B$5:$B$21,MATCH(D25,Cores!$A$5:$A$21,0)),"")</f>
        <v>Branco brilhante</v>
      </c>
      <c r="F25" s="13" t="s">
        <v>239</v>
      </c>
      <c r="G25" s="13" t="s">
        <v>230</v>
      </c>
      <c r="H25" s="13" t="s">
        <v>231</v>
      </c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customFormat="false" ht="15" hidden="false" customHeight="false" outlineLevel="0" collapsed="false">
      <c r="A26" s="30" t="n">
        <v>22</v>
      </c>
      <c r="B26" s="13"/>
      <c r="C26" s="13"/>
      <c r="D26" s="13" t="n">
        <v>3</v>
      </c>
      <c r="E26" s="40" t="str">
        <f aca="false">IFERROR(INDEX(Cores!$B$5:$B$21,MATCH(D26,Cores!$A$5:$A$21,0)),"")</f>
        <v>Branco brilhante</v>
      </c>
      <c r="F26" s="13" t="s">
        <v>239</v>
      </c>
      <c r="G26" s="13" t="s">
        <v>230</v>
      </c>
      <c r="H26" s="13" t="s">
        <v>237</v>
      </c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customFormat="false" ht="15" hidden="false" customHeight="false" outlineLevel="0" collapsed="false">
      <c r="A27" s="30" t="n">
        <v>23</v>
      </c>
      <c r="B27" s="13"/>
      <c r="C27" s="13"/>
      <c r="D27" s="13" t="n">
        <v>3</v>
      </c>
      <c r="E27" s="40" t="str">
        <f aca="false">IFERROR(INDEX(Cores!$B$5:$B$21,MATCH(D27,Cores!$A$5:$A$21,0)),"")</f>
        <v>Branco brilhante</v>
      </c>
      <c r="F27" s="13" t="s">
        <v>239</v>
      </c>
      <c r="G27" s="13" t="s">
        <v>238</v>
      </c>
      <c r="H27" s="13" t="s">
        <v>231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customFormat="false" ht="15" hidden="false" customHeight="false" outlineLevel="0" collapsed="false">
      <c r="A28" s="30" t="n">
        <v>24</v>
      </c>
      <c r="B28" s="13"/>
      <c r="C28" s="13"/>
      <c r="D28" s="13" t="n">
        <v>3</v>
      </c>
      <c r="E28" s="40" t="str">
        <f aca="false">IFERROR(INDEX(Cores!$B$5:$B$21,MATCH(D28,Cores!$A$5:$A$21,0)),"")</f>
        <v>Branco brilhante</v>
      </c>
      <c r="F28" s="13" t="s">
        <v>239</v>
      </c>
      <c r="G28" s="13" t="s">
        <v>238</v>
      </c>
      <c r="H28" s="13" t="s">
        <v>237</v>
      </c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customFormat="false" ht="15" hidden="false" customHeight="false" outlineLevel="0" collapsed="false">
      <c r="A29" s="30" t="n">
        <v>25</v>
      </c>
      <c r="B29" s="13"/>
      <c r="C29" s="13"/>
      <c r="D29" s="13" t="n">
        <v>4</v>
      </c>
      <c r="E29" s="40" t="str">
        <f aca="false">IFERROR(INDEX(Cores!$B$5:$B$21,MATCH(D29,Cores!$A$5:$A$21,0)),"")</f>
        <v>Branco acetinado</v>
      </c>
      <c r="F29" s="13" t="s">
        <v>229</v>
      </c>
      <c r="G29" s="13" t="s">
        <v>230</v>
      </c>
      <c r="H29" s="13" t="s">
        <v>231</v>
      </c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customFormat="false" ht="15" hidden="false" customHeight="false" outlineLevel="0" collapsed="false">
      <c r="A30" s="30" t="n">
        <v>26</v>
      </c>
      <c r="B30" s="13"/>
      <c r="C30" s="13"/>
      <c r="D30" s="13" t="n">
        <v>4</v>
      </c>
      <c r="E30" s="40" t="str">
        <f aca="false">IFERROR(INDEX(Cores!$B$5:$B$21,MATCH(D30,Cores!$A$5:$A$21,0)),"")</f>
        <v>Branco acetinado</v>
      </c>
      <c r="F30" s="13" t="s">
        <v>229</v>
      </c>
      <c r="G30" s="13" t="s">
        <v>230</v>
      </c>
      <c r="H30" s="13" t="s">
        <v>237</v>
      </c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customFormat="false" ht="15" hidden="false" customHeight="false" outlineLevel="0" collapsed="false">
      <c r="A31" s="30" t="n">
        <v>27</v>
      </c>
      <c r="B31" s="13"/>
      <c r="C31" s="13"/>
      <c r="D31" s="13" t="n">
        <v>4</v>
      </c>
      <c r="E31" s="40" t="str">
        <f aca="false">IFERROR(INDEX(Cores!$B$5:$B$21,MATCH(D31,Cores!$A$5:$A$21,0)),"")</f>
        <v>Branco acetinado</v>
      </c>
      <c r="F31" s="13" t="s">
        <v>229</v>
      </c>
      <c r="G31" s="13" t="s">
        <v>238</v>
      </c>
      <c r="H31" s="13" t="s">
        <v>231</v>
      </c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customFormat="false" ht="15" hidden="false" customHeight="false" outlineLevel="0" collapsed="false">
      <c r="A32" s="30" t="n">
        <v>28</v>
      </c>
      <c r="B32" s="13"/>
      <c r="C32" s="13"/>
      <c r="D32" s="13" t="n">
        <v>4</v>
      </c>
      <c r="E32" s="40" t="str">
        <f aca="false">IFERROR(INDEX(Cores!$B$5:$B$21,MATCH(D32,Cores!$A$5:$A$21,0)),"")</f>
        <v>Branco acetinado</v>
      </c>
      <c r="F32" s="13" t="s">
        <v>229</v>
      </c>
      <c r="G32" s="13" t="s">
        <v>238</v>
      </c>
      <c r="H32" s="13" t="s">
        <v>237</v>
      </c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customFormat="false" ht="15" hidden="false" customHeight="false" outlineLevel="0" collapsed="false">
      <c r="A33" s="30" t="n">
        <v>29</v>
      </c>
      <c r="B33" s="13"/>
      <c r="C33" s="13"/>
      <c r="D33" s="13" t="n">
        <v>4</v>
      </c>
      <c r="E33" s="40" t="str">
        <f aca="false">IFERROR(INDEX(Cores!$B$5:$B$21,MATCH(D33,Cores!$A$5:$A$21,0)),"")</f>
        <v>Branco acetinado</v>
      </c>
      <c r="F33" s="13" t="s">
        <v>239</v>
      </c>
      <c r="G33" s="13" t="s">
        <v>230</v>
      </c>
      <c r="H33" s="13" t="s">
        <v>231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customFormat="false" ht="15" hidden="false" customHeight="false" outlineLevel="0" collapsed="false">
      <c r="A34" s="30" t="n">
        <v>30</v>
      </c>
      <c r="B34" s="13"/>
      <c r="C34" s="13"/>
      <c r="D34" s="13" t="n">
        <v>4</v>
      </c>
      <c r="E34" s="40" t="str">
        <f aca="false">IFERROR(INDEX(Cores!$B$5:$B$21,MATCH(D34,Cores!$A$5:$A$21,0)),"")</f>
        <v>Branco acetinado</v>
      </c>
      <c r="F34" s="13" t="s">
        <v>239</v>
      </c>
      <c r="G34" s="13" t="s">
        <v>230</v>
      </c>
      <c r="H34" s="13" t="s">
        <v>237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customFormat="false" ht="15" hidden="false" customHeight="false" outlineLevel="0" collapsed="false">
      <c r="A35" s="30" t="n">
        <v>31</v>
      </c>
      <c r="B35" s="13"/>
      <c r="C35" s="13"/>
      <c r="D35" s="13" t="n">
        <v>4</v>
      </c>
      <c r="E35" s="40" t="str">
        <f aca="false">IFERROR(INDEX(Cores!$B$5:$B$21,MATCH(D35,Cores!$A$5:$A$21,0)),"")</f>
        <v>Branco acetinado</v>
      </c>
      <c r="F35" s="13" t="s">
        <v>239</v>
      </c>
      <c r="G35" s="13" t="s">
        <v>238</v>
      </c>
      <c r="H35" s="13" t="s">
        <v>231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customFormat="false" ht="15" hidden="false" customHeight="false" outlineLevel="0" collapsed="false">
      <c r="A36" s="30" t="n">
        <v>32</v>
      </c>
      <c r="B36" s="13"/>
      <c r="C36" s="13"/>
      <c r="D36" s="13" t="n">
        <v>4</v>
      </c>
      <c r="E36" s="40" t="str">
        <f aca="false">IFERROR(INDEX(Cores!$B$5:$B$21,MATCH(D36,Cores!$A$5:$A$21,0)),"")</f>
        <v>Branco acetinado</v>
      </c>
      <c r="F36" s="13" t="s">
        <v>239</v>
      </c>
      <c r="G36" s="13" t="s">
        <v>238</v>
      </c>
      <c r="H36" s="13" t="s">
        <v>237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customFormat="false" ht="15" hidden="false" customHeight="false" outlineLevel="0" collapsed="false">
      <c r="A37" s="30" t="n">
        <v>33</v>
      </c>
      <c r="B37" s="13"/>
      <c r="C37" s="13"/>
      <c r="D37" s="13" t="n">
        <v>5</v>
      </c>
      <c r="E37" s="40" t="str">
        <f aca="false">IFERROR(INDEX(Cores!$B$5:$B$21,MATCH(D37,Cores!$A$5:$A$21,0)),"")</f>
        <v>Preto brilhante</v>
      </c>
      <c r="F37" s="13" t="s">
        <v>229</v>
      </c>
      <c r="G37" s="13" t="s">
        <v>230</v>
      </c>
      <c r="H37" s="13" t="s">
        <v>231</v>
      </c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customFormat="false" ht="15" hidden="false" customHeight="false" outlineLevel="0" collapsed="false">
      <c r="A38" s="30" t="n">
        <v>34</v>
      </c>
      <c r="B38" s="13"/>
      <c r="C38" s="13"/>
      <c r="D38" s="13" t="n">
        <v>5</v>
      </c>
      <c r="E38" s="40" t="str">
        <f aca="false">IFERROR(INDEX(Cores!$B$5:$B$21,MATCH(D38,Cores!$A$5:$A$21,0)),"")</f>
        <v>Preto brilhante</v>
      </c>
      <c r="F38" s="13" t="s">
        <v>229</v>
      </c>
      <c r="G38" s="13" t="s">
        <v>230</v>
      </c>
      <c r="H38" s="13" t="s">
        <v>237</v>
      </c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customFormat="false" ht="15" hidden="false" customHeight="false" outlineLevel="0" collapsed="false">
      <c r="A39" s="30" t="n">
        <v>35</v>
      </c>
      <c r="B39" s="13"/>
      <c r="C39" s="13"/>
      <c r="D39" s="13" t="n">
        <v>5</v>
      </c>
      <c r="E39" s="40" t="str">
        <f aca="false">IFERROR(INDEX(Cores!$B$5:$B$21,MATCH(D39,Cores!$A$5:$A$21,0)),"")</f>
        <v>Preto brilhante</v>
      </c>
      <c r="F39" s="13" t="s">
        <v>229</v>
      </c>
      <c r="G39" s="13" t="s">
        <v>238</v>
      </c>
      <c r="H39" s="13" t="s">
        <v>231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customFormat="false" ht="15" hidden="false" customHeight="false" outlineLevel="0" collapsed="false">
      <c r="A40" s="30" t="n">
        <v>36</v>
      </c>
      <c r="B40" s="13"/>
      <c r="C40" s="13"/>
      <c r="D40" s="13" t="n">
        <v>5</v>
      </c>
      <c r="E40" s="40" t="str">
        <f aca="false">IFERROR(INDEX(Cores!$B$5:$B$21,MATCH(D40,Cores!$A$5:$A$21,0)),"")</f>
        <v>Preto brilhante</v>
      </c>
      <c r="F40" s="13" t="s">
        <v>229</v>
      </c>
      <c r="G40" s="13" t="s">
        <v>238</v>
      </c>
      <c r="H40" s="13" t="s">
        <v>237</v>
      </c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customFormat="false" ht="15" hidden="false" customHeight="false" outlineLevel="0" collapsed="false">
      <c r="A41" s="30" t="n">
        <v>37</v>
      </c>
      <c r="B41" s="13"/>
      <c r="C41" s="13"/>
      <c r="D41" s="13" t="n">
        <v>5</v>
      </c>
      <c r="E41" s="40" t="str">
        <f aca="false">IFERROR(INDEX(Cores!$B$5:$B$21,MATCH(D41,Cores!$A$5:$A$21,0)),"")</f>
        <v>Preto brilhante</v>
      </c>
      <c r="F41" s="13" t="s">
        <v>239</v>
      </c>
      <c r="G41" s="13" t="s">
        <v>230</v>
      </c>
      <c r="H41" s="13" t="s">
        <v>231</v>
      </c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customFormat="false" ht="15" hidden="false" customHeight="false" outlineLevel="0" collapsed="false">
      <c r="A42" s="30" t="n">
        <v>38</v>
      </c>
      <c r="B42" s="13"/>
      <c r="C42" s="13"/>
      <c r="D42" s="13" t="n">
        <v>5</v>
      </c>
      <c r="E42" s="40" t="str">
        <f aca="false">IFERROR(INDEX(Cores!$B$5:$B$21,MATCH(D42,Cores!$A$5:$A$21,0)),"")</f>
        <v>Preto brilhante</v>
      </c>
      <c r="F42" s="13" t="s">
        <v>239</v>
      </c>
      <c r="G42" s="13" t="s">
        <v>230</v>
      </c>
      <c r="H42" s="13" t="s">
        <v>237</v>
      </c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customFormat="false" ht="15" hidden="false" customHeight="false" outlineLevel="0" collapsed="false">
      <c r="A43" s="30" t="n">
        <v>39</v>
      </c>
      <c r="B43" s="13"/>
      <c r="C43" s="13"/>
      <c r="D43" s="13" t="n">
        <v>5</v>
      </c>
      <c r="E43" s="40" t="str">
        <f aca="false">IFERROR(INDEX(Cores!$B$5:$B$21,MATCH(D43,Cores!$A$5:$A$21,0)),"")</f>
        <v>Preto brilhante</v>
      </c>
      <c r="F43" s="13" t="s">
        <v>239</v>
      </c>
      <c r="G43" s="13" t="s">
        <v>238</v>
      </c>
      <c r="H43" s="13" t="s">
        <v>231</v>
      </c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customFormat="false" ht="15" hidden="false" customHeight="false" outlineLevel="0" collapsed="false">
      <c r="A44" s="30" t="n">
        <v>40</v>
      </c>
      <c r="B44" s="13"/>
      <c r="C44" s="13"/>
      <c r="D44" s="13" t="n">
        <v>5</v>
      </c>
      <c r="E44" s="40" t="str">
        <f aca="false">IFERROR(INDEX(Cores!$B$5:$B$21,MATCH(D44,Cores!$A$5:$A$21,0)),"")</f>
        <v>Preto brilhante</v>
      </c>
      <c r="F44" s="13" t="s">
        <v>239</v>
      </c>
      <c r="G44" s="13" t="s">
        <v>238</v>
      </c>
      <c r="H44" s="13" t="s">
        <v>237</v>
      </c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customFormat="false" ht="15" hidden="false" customHeight="false" outlineLevel="0" collapsed="false">
      <c r="A45" s="30" t="n">
        <v>41</v>
      </c>
      <c r="B45" s="13"/>
      <c r="C45" s="13"/>
      <c r="D45" s="13" t="n">
        <v>6</v>
      </c>
      <c r="E45" s="40" t="str">
        <f aca="false">IFERROR(INDEX(Cores!$B$5:$B$21,MATCH(D45,Cores!$A$5:$A$21,0)),"")</f>
        <v>Tenmoku</v>
      </c>
      <c r="F45" s="13" t="s">
        <v>229</v>
      </c>
      <c r="G45" s="13" t="s">
        <v>230</v>
      </c>
      <c r="H45" s="13" t="s">
        <v>231</v>
      </c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customFormat="false" ht="15" hidden="false" customHeight="false" outlineLevel="0" collapsed="false">
      <c r="A46" s="30" t="n">
        <v>42</v>
      </c>
      <c r="B46" s="13"/>
      <c r="C46" s="13"/>
      <c r="D46" s="13" t="n">
        <v>6</v>
      </c>
      <c r="E46" s="40" t="str">
        <f aca="false">IFERROR(INDEX(Cores!$B$5:$B$21,MATCH(D46,Cores!$A$5:$A$21,0)),"")</f>
        <v>Tenmoku</v>
      </c>
      <c r="F46" s="13" t="s">
        <v>229</v>
      </c>
      <c r="G46" s="13" t="s">
        <v>230</v>
      </c>
      <c r="H46" s="13" t="s">
        <v>237</v>
      </c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customFormat="false" ht="15" hidden="false" customHeight="false" outlineLevel="0" collapsed="false">
      <c r="A47" s="30" t="n">
        <v>43</v>
      </c>
      <c r="B47" s="13"/>
      <c r="C47" s="13"/>
      <c r="D47" s="13" t="n">
        <v>6</v>
      </c>
      <c r="E47" s="40" t="str">
        <f aca="false">IFERROR(INDEX(Cores!$B$5:$B$21,MATCH(D47,Cores!$A$5:$A$21,0)),"")</f>
        <v>Tenmoku</v>
      </c>
      <c r="F47" s="13" t="s">
        <v>229</v>
      </c>
      <c r="G47" s="13" t="s">
        <v>238</v>
      </c>
      <c r="H47" s="13" t="s">
        <v>231</v>
      </c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customFormat="false" ht="15" hidden="false" customHeight="false" outlineLevel="0" collapsed="false">
      <c r="A48" s="30" t="n">
        <v>44</v>
      </c>
      <c r="B48" s="13"/>
      <c r="C48" s="13"/>
      <c r="D48" s="13" t="n">
        <v>6</v>
      </c>
      <c r="E48" s="40" t="str">
        <f aca="false">IFERROR(INDEX(Cores!$B$5:$B$21,MATCH(D48,Cores!$A$5:$A$21,0)),"")</f>
        <v>Tenmoku</v>
      </c>
      <c r="F48" s="13" t="s">
        <v>229</v>
      </c>
      <c r="G48" s="13" t="s">
        <v>238</v>
      </c>
      <c r="H48" s="13" t="s">
        <v>237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customFormat="false" ht="15" hidden="false" customHeight="false" outlineLevel="0" collapsed="false">
      <c r="A49" s="30" t="n">
        <v>45</v>
      </c>
      <c r="B49" s="13"/>
      <c r="C49" s="13"/>
      <c r="D49" s="13" t="n">
        <v>6</v>
      </c>
      <c r="E49" s="40" t="str">
        <f aca="false">IFERROR(INDEX(Cores!$B$5:$B$21,MATCH(D49,Cores!$A$5:$A$21,0)),"")</f>
        <v>Tenmoku</v>
      </c>
      <c r="F49" s="13" t="s">
        <v>239</v>
      </c>
      <c r="G49" s="13" t="s">
        <v>230</v>
      </c>
      <c r="H49" s="13" t="s">
        <v>231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customFormat="false" ht="15" hidden="false" customHeight="false" outlineLevel="0" collapsed="false">
      <c r="A50" s="30" t="n">
        <v>46</v>
      </c>
      <c r="B50" s="13"/>
      <c r="C50" s="13"/>
      <c r="D50" s="13" t="n">
        <v>6</v>
      </c>
      <c r="E50" s="40" t="str">
        <f aca="false">IFERROR(INDEX(Cores!$B$5:$B$21,MATCH(D50,Cores!$A$5:$A$21,0)),"")</f>
        <v>Tenmoku</v>
      </c>
      <c r="F50" s="13" t="s">
        <v>239</v>
      </c>
      <c r="G50" s="13" t="s">
        <v>230</v>
      </c>
      <c r="H50" s="13" t="s">
        <v>237</v>
      </c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customFormat="false" ht="15" hidden="false" customHeight="false" outlineLevel="0" collapsed="false">
      <c r="A51" s="30" t="n">
        <v>47</v>
      </c>
      <c r="B51" s="13"/>
      <c r="C51" s="13"/>
      <c r="D51" s="13" t="n">
        <v>6</v>
      </c>
      <c r="E51" s="40" t="str">
        <f aca="false">IFERROR(INDEX(Cores!$B$5:$B$21,MATCH(D51,Cores!$A$5:$A$21,0)),"")</f>
        <v>Tenmoku</v>
      </c>
      <c r="F51" s="13" t="s">
        <v>239</v>
      </c>
      <c r="G51" s="13" t="s">
        <v>238</v>
      </c>
      <c r="H51" s="13" t="s">
        <v>231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customFormat="false" ht="15" hidden="false" customHeight="false" outlineLevel="0" collapsed="false">
      <c r="A52" s="30" t="n">
        <v>48</v>
      </c>
      <c r="B52" s="13"/>
      <c r="C52" s="13"/>
      <c r="D52" s="13" t="n">
        <v>6</v>
      </c>
      <c r="E52" s="40" t="str">
        <f aca="false">IFERROR(INDEX(Cores!$B$5:$B$21,MATCH(D52,Cores!$A$5:$A$21,0)),"")</f>
        <v>Tenmoku</v>
      </c>
      <c r="F52" s="13" t="s">
        <v>239</v>
      </c>
      <c r="G52" s="13" t="s">
        <v>238</v>
      </c>
      <c r="H52" s="13" t="s">
        <v>237</v>
      </c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customFormat="false" ht="15" hidden="false" customHeight="false" outlineLevel="0" collapsed="false">
      <c r="A53" s="30" t="n">
        <v>49</v>
      </c>
      <c r="B53" s="13"/>
      <c r="C53" s="13"/>
      <c r="D53" s="13" t="n">
        <v>7</v>
      </c>
      <c r="E53" s="40" t="str">
        <f aca="false">IFERROR(INDEX(Cores!$B$5:$B$21,MATCH(D53,Cores!$A$5:$A$21,0)),"")</f>
        <v>Celadon verde</v>
      </c>
      <c r="F53" s="13" t="s">
        <v>229</v>
      </c>
      <c r="G53" s="13" t="s">
        <v>230</v>
      </c>
      <c r="H53" s="13" t="s">
        <v>231</v>
      </c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customFormat="false" ht="15" hidden="false" customHeight="false" outlineLevel="0" collapsed="false">
      <c r="A54" s="30" t="n">
        <v>50</v>
      </c>
      <c r="B54" s="13"/>
      <c r="C54" s="13"/>
      <c r="D54" s="13" t="n">
        <v>7</v>
      </c>
      <c r="E54" s="40" t="str">
        <f aca="false">IFERROR(INDEX(Cores!$B$5:$B$21,MATCH(D54,Cores!$A$5:$A$21,0)),"")</f>
        <v>Celadon verde</v>
      </c>
      <c r="F54" s="13" t="s">
        <v>229</v>
      </c>
      <c r="G54" s="13" t="s">
        <v>230</v>
      </c>
      <c r="H54" s="13" t="s">
        <v>237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</row>
    <row r="55" customFormat="false" ht="15" hidden="false" customHeight="false" outlineLevel="0" collapsed="false">
      <c r="A55" s="30" t="n">
        <v>51</v>
      </c>
      <c r="B55" s="13"/>
      <c r="C55" s="13"/>
      <c r="D55" s="13" t="n">
        <v>7</v>
      </c>
      <c r="E55" s="40" t="str">
        <f aca="false">IFERROR(INDEX(Cores!$B$5:$B$21,MATCH(D55,Cores!$A$5:$A$21,0)),"")</f>
        <v>Celadon verde</v>
      </c>
      <c r="F55" s="13" t="s">
        <v>229</v>
      </c>
      <c r="G55" s="13" t="s">
        <v>238</v>
      </c>
      <c r="H55" s="13" t="s">
        <v>231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</row>
    <row r="56" customFormat="false" ht="15" hidden="false" customHeight="false" outlineLevel="0" collapsed="false">
      <c r="A56" s="30" t="n">
        <v>52</v>
      </c>
      <c r="B56" s="13"/>
      <c r="C56" s="13"/>
      <c r="D56" s="13" t="n">
        <v>7</v>
      </c>
      <c r="E56" s="40" t="str">
        <f aca="false">IFERROR(INDEX(Cores!$B$5:$B$21,MATCH(D56,Cores!$A$5:$A$21,0)),"")</f>
        <v>Celadon verde</v>
      </c>
      <c r="F56" s="13" t="s">
        <v>229</v>
      </c>
      <c r="G56" s="13" t="s">
        <v>238</v>
      </c>
      <c r="H56" s="13" t="s">
        <v>237</v>
      </c>
      <c r="I56" s="13"/>
      <c r="J56" s="13"/>
      <c r="K56" s="13"/>
      <c r="L56" s="13"/>
      <c r="M56" s="13"/>
      <c r="N56" s="13"/>
      <c r="O56" s="13"/>
      <c r="P56" s="13"/>
      <c r="Q56" s="13"/>
      <c r="R56" s="13"/>
    </row>
    <row r="57" customFormat="false" ht="15" hidden="false" customHeight="false" outlineLevel="0" collapsed="false">
      <c r="A57" s="30" t="n">
        <v>53</v>
      </c>
      <c r="B57" s="13"/>
      <c r="C57" s="13"/>
      <c r="D57" s="13" t="n">
        <v>7</v>
      </c>
      <c r="E57" s="40" t="str">
        <f aca="false">IFERROR(INDEX(Cores!$B$5:$B$21,MATCH(D57,Cores!$A$5:$A$21,0)),"")</f>
        <v>Celadon verde</v>
      </c>
      <c r="F57" s="13" t="s">
        <v>239</v>
      </c>
      <c r="G57" s="13" t="s">
        <v>230</v>
      </c>
      <c r="H57" s="13" t="s">
        <v>231</v>
      </c>
      <c r="I57" s="13"/>
      <c r="J57" s="13"/>
      <c r="K57" s="13"/>
      <c r="L57" s="13"/>
      <c r="M57" s="13"/>
      <c r="N57" s="13"/>
      <c r="O57" s="13"/>
      <c r="P57" s="13"/>
      <c r="Q57" s="13"/>
      <c r="R57" s="13"/>
    </row>
    <row r="58" customFormat="false" ht="15" hidden="false" customHeight="false" outlineLevel="0" collapsed="false">
      <c r="A58" s="30" t="n">
        <v>54</v>
      </c>
      <c r="B58" s="13"/>
      <c r="C58" s="13"/>
      <c r="D58" s="13" t="n">
        <v>7</v>
      </c>
      <c r="E58" s="40" t="str">
        <f aca="false">IFERROR(INDEX(Cores!$B$5:$B$21,MATCH(D58,Cores!$A$5:$A$21,0)),"")</f>
        <v>Celadon verde</v>
      </c>
      <c r="F58" s="13" t="s">
        <v>239</v>
      </c>
      <c r="G58" s="13" t="s">
        <v>230</v>
      </c>
      <c r="H58" s="13" t="s">
        <v>237</v>
      </c>
      <c r="I58" s="13"/>
      <c r="J58" s="13"/>
      <c r="K58" s="13"/>
      <c r="L58" s="13"/>
      <c r="M58" s="13"/>
      <c r="N58" s="13"/>
      <c r="O58" s="13"/>
      <c r="P58" s="13"/>
      <c r="Q58" s="13"/>
      <c r="R58" s="13"/>
    </row>
    <row r="59" customFormat="false" ht="15" hidden="false" customHeight="false" outlineLevel="0" collapsed="false">
      <c r="A59" s="30" t="n">
        <v>55</v>
      </c>
      <c r="B59" s="13"/>
      <c r="C59" s="13"/>
      <c r="D59" s="13" t="n">
        <v>7</v>
      </c>
      <c r="E59" s="40" t="str">
        <f aca="false">IFERROR(INDEX(Cores!$B$5:$B$21,MATCH(D59,Cores!$A$5:$A$21,0)),"")</f>
        <v>Celadon verde</v>
      </c>
      <c r="F59" s="13" t="s">
        <v>239</v>
      </c>
      <c r="G59" s="13" t="s">
        <v>238</v>
      </c>
      <c r="H59" s="13" t="s">
        <v>231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</row>
    <row r="60" customFormat="false" ht="15" hidden="false" customHeight="false" outlineLevel="0" collapsed="false">
      <c r="A60" s="30" t="n">
        <v>56</v>
      </c>
      <c r="B60" s="13"/>
      <c r="C60" s="13"/>
      <c r="D60" s="13" t="n">
        <v>7</v>
      </c>
      <c r="E60" s="40" t="str">
        <f aca="false">IFERROR(INDEX(Cores!$B$5:$B$21,MATCH(D60,Cores!$A$5:$A$21,0)),"")</f>
        <v>Celadon verde</v>
      </c>
      <c r="F60" s="13" t="s">
        <v>239</v>
      </c>
      <c r="G60" s="13" t="s">
        <v>238</v>
      </c>
      <c r="H60" s="13" t="s">
        <v>237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</row>
    <row r="61" customFormat="false" ht="15" hidden="false" customHeight="false" outlineLevel="0" collapsed="false">
      <c r="A61" s="30" t="n">
        <v>57</v>
      </c>
      <c r="B61" s="13"/>
      <c r="C61" s="13"/>
      <c r="D61" s="13" t="n">
        <v>8</v>
      </c>
      <c r="E61" s="40" t="str">
        <f aca="false">IFERROR(INDEX(Cores!$B$5:$B$21,MATCH(D61,Cores!$A$5:$A$21,0)),"")</f>
        <v>Celadon azul</v>
      </c>
      <c r="F61" s="13" t="s">
        <v>229</v>
      </c>
      <c r="G61" s="13" t="s">
        <v>230</v>
      </c>
      <c r="H61" s="13" t="s">
        <v>231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</row>
    <row r="62" customFormat="false" ht="15" hidden="false" customHeight="false" outlineLevel="0" collapsed="false">
      <c r="A62" s="30" t="n">
        <v>58</v>
      </c>
      <c r="B62" s="13"/>
      <c r="C62" s="13"/>
      <c r="D62" s="13" t="n">
        <v>8</v>
      </c>
      <c r="E62" s="40" t="str">
        <f aca="false">IFERROR(INDEX(Cores!$B$5:$B$21,MATCH(D62,Cores!$A$5:$A$21,0)),"")</f>
        <v>Celadon azul</v>
      </c>
      <c r="F62" s="13" t="s">
        <v>229</v>
      </c>
      <c r="G62" s="13" t="s">
        <v>230</v>
      </c>
      <c r="H62" s="13" t="s">
        <v>237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</row>
    <row r="63" customFormat="false" ht="15" hidden="false" customHeight="false" outlineLevel="0" collapsed="false">
      <c r="A63" s="30" t="n">
        <v>59</v>
      </c>
      <c r="B63" s="13"/>
      <c r="C63" s="13"/>
      <c r="D63" s="13" t="n">
        <v>8</v>
      </c>
      <c r="E63" s="40" t="str">
        <f aca="false">IFERROR(INDEX(Cores!$B$5:$B$21,MATCH(D63,Cores!$A$5:$A$21,0)),"")</f>
        <v>Celadon azul</v>
      </c>
      <c r="F63" s="13" t="s">
        <v>229</v>
      </c>
      <c r="G63" s="13" t="s">
        <v>238</v>
      </c>
      <c r="H63" s="13" t="s">
        <v>231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</row>
    <row r="64" customFormat="false" ht="15" hidden="false" customHeight="false" outlineLevel="0" collapsed="false">
      <c r="A64" s="30" t="n">
        <v>60</v>
      </c>
      <c r="B64" s="13"/>
      <c r="C64" s="13"/>
      <c r="D64" s="13" t="n">
        <v>8</v>
      </c>
      <c r="E64" s="40" t="str">
        <f aca="false">IFERROR(INDEX(Cores!$B$5:$B$21,MATCH(D64,Cores!$A$5:$A$21,0)),"")</f>
        <v>Celadon azul</v>
      </c>
      <c r="F64" s="13" t="s">
        <v>229</v>
      </c>
      <c r="G64" s="13" t="s">
        <v>238</v>
      </c>
      <c r="H64" s="13" t="s">
        <v>237</v>
      </c>
      <c r="I64" s="13"/>
      <c r="J64" s="13"/>
      <c r="K64" s="13"/>
      <c r="L64" s="13"/>
      <c r="M64" s="13"/>
      <c r="N64" s="13"/>
      <c r="O64" s="13"/>
      <c r="P64" s="13"/>
      <c r="Q64" s="13"/>
      <c r="R64" s="13"/>
    </row>
    <row r="65" customFormat="false" ht="15" hidden="false" customHeight="false" outlineLevel="0" collapsed="false">
      <c r="A65" s="30" t="n">
        <v>61</v>
      </c>
      <c r="B65" s="13"/>
      <c r="C65" s="13"/>
      <c r="D65" s="13" t="n">
        <v>8</v>
      </c>
      <c r="E65" s="40" t="str">
        <f aca="false">IFERROR(INDEX(Cores!$B$5:$B$21,MATCH(D65,Cores!$A$5:$A$21,0)),"")</f>
        <v>Celadon azul</v>
      </c>
      <c r="F65" s="13" t="s">
        <v>239</v>
      </c>
      <c r="G65" s="13" t="s">
        <v>230</v>
      </c>
      <c r="H65" s="13" t="s">
        <v>231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</row>
    <row r="66" customFormat="false" ht="15" hidden="false" customHeight="false" outlineLevel="0" collapsed="false">
      <c r="A66" s="30" t="n">
        <v>62</v>
      </c>
      <c r="B66" s="13"/>
      <c r="C66" s="13"/>
      <c r="D66" s="13" t="n">
        <v>8</v>
      </c>
      <c r="E66" s="40" t="str">
        <f aca="false">IFERROR(INDEX(Cores!$B$5:$B$21,MATCH(D66,Cores!$A$5:$A$21,0)),"")</f>
        <v>Celadon azul</v>
      </c>
      <c r="F66" s="13" t="s">
        <v>239</v>
      </c>
      <c r="G66" s="13" t="s">
        <v>230</v>
      </c>
      <c r="H66" s="13" t="s">
        <v>237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</row>
    <row r="67" customFormat="false" ht="15" hidden="false" customHeight="false" outlineLevel="0" collapsed="false">
      <c r="A67" s="30" t="n">
        <v>63</v>
      </c>
      <c r="B67" s="13"/>
      <c r="C67" s="13"/>
      <c r="D67" s="13" t="n">
        <v>8</v>
      </c>
      <c r="E67" s="40" t="str">
        <f aca="false">IFERROR(INDEX(Cores!$B$5:$B$21,MATCH(D67,Cores!$A$5:$A$21,0)),"")</f>
        <v>Celadon azul</v>
      </c>
      <c r="F67" s="13" t="s">
        <v>239</v>
      </c>
      <c r="G67" s="13" t="s">
        <v>238</v>
      </c>
      <c r="H67" s="13" t="s">
        <v>231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</row>
    <row r="68" customFormat="false" ht="15" hidden="false" customHeight="false" outlineLevel="0" collapsed="false">
      <c r="A68" s="30" t="n">
        <v>64</v>
      </c>
      <c r="B68" s="13"/>
      <c r="C68" s="13"/>
      <c r="D68" s="13" t="n">
        <v>8</v>
      </c>
      <c r="E68" s="40" t="str">
        <f aca="false">IFERROR(INDEX(Cores!$B$5:$B$21,MATCH(D68,Cores!$A$5:$A$21,0)),"")</f>
        <v>Celadon azul</v>
      </c>
      <c r="F68" s="13" t="s">
        <v>239</v>
      </c>
      <c r="G68" s="13" t="s">
        <v>238</v>
      </c>
      <c r="H68" s="13" t="s">
        <v>237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</row>
    <row r="69" customFormat="false" ht="15" hidden="false" customHeight="false" outlineLevel="0" collapsed="false">
      <c r="A69" s="30" t="n">
        <v>65</v>
      </c>
      <c r="B69" s="13"/>
      <c r="C69" s="13"/>
      <c r="D69" s="13" t="n">
        <v>9</v>
      </c>
      <c r="E69" s="40" t="str">
        <f aca="false">IFERROR(INDEX(Cores!$B$5:$B$21,MATCH(D69,Cores!$A$5:$A$21,0)),"")</f>
        <v>Rutilo mel</v>
      </c>
      <c r="F69" s="13" t="s">
        <v>229</v>
      </c>
      <c r="G69" s="13" t="s">
        <v>230</v>
      </c>
      <c r="H69" s="13" t="s">
        <v>231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</row>
    <row r="70" customFormat="false" ht="15" hidden="false" customHeight="false" outlineLevel="0" collapsed="false">
      <c r="A70" s="30" t="n">
        <v>66</v>
      </c>
      <c r="B70" s="13"/>
      <c r="C70" s="13"/>
      <c r="D70" s="13" t="n">
        <v>9</v>
      </c>
      <c r="E70" s="40" t="str">
        <f aca="false">IFERROR(INDEX(Cores!$B$5:$B$21,MATCH(D70,Cores!$A$5:$A$21,0)),"")</f>
        <v>Rutilo mel</v>
      </c>
      <c r="F70" s="13" t="s">
        <v>229</v>
      </c>
      <c r="G70" s="13" t="s">
        <v>230</v>
      </c>
      <c r="H70" s="13" t="s">
        <v>237</v>
      </c>
      <c r="I70" s="13"/>
      <c r="J70" s="13"/>
      <c r="K70" s="13"/>
      <c r="L70" s="13"/>
      <c r="M70" s="13"/>
      <c r="N70" s="13"/>
      <c r="O70" s="13"/>
      <c r="P70" s="13"/>
      <c r="Q70" s="13"/>
      <c r="R70" s="13"/>
    </row>
    <row r="71" customFormat="false" ht="15" hidden="false" customHeight="false" outlineLevel="0" collapsed="false">
      <c r="A71" s="30" t="n">
        <v>67</v>
      </c>
      <c r="B71" s="13"/>
      <c r="C71" s="13"/>
      <c r="D71" s="13" t="n">
        <v>9</v>
      </c>
      <c r="E71" s="40" t="str">
        <f aca="false">IFERROR(INDEX(Cores!$B$5:$B$21,MATCH(D71,Cores!$A$5:$A$21,0)),"")</f>
        <v>Rutilo mel</v>
      </c>
      <c r="F71" s="13" t="s">
        <v>229</v>
      </c>
      <c r="G71" s="13" t="s">
        <v>238</v>
      </c>
      <c r="H71" s="13" t="s">
        <v>231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</row>
    <row r="72" customFormat="false" ht="15" hidden="false" customHeight="false" outlineLevel="0" collapsed="false">
      <c r="A72" s="30" t="n">
        <v>68</v>
      </c>
      <c r="B72" s="13"/>
      <c r="C72" s="13"/>
      <c r="D72" s="13" t="n">
        <v>9</v>
      </c>
      <c r="E72" s="40" t="str">
        <f aca="false">IFERROR(INDEX(Cores!$B$5:$B$21,MATCH(D72,Cores!$A$5:$A$21,0)),"")</f>
        <v>Rutilo mel</v>
      </c>
      <c r="F72" s="13" t="s">
        <v>229</v>
      </c>
      <c r="G72" s="13" t="s">
        <v>238</v>
      </c>
      <c r="H72" s="13" t="s">
        <v>237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</row>
    <row r="73" customFormat="false" ht="15" hidden="false" customHeight="false" outlineLevel="0" collapsed="false">
      <c r="A73" s="30" t="n">
        <v>69</v>
      </c>
      <c r="B73" s="13"/>
      <c r="C73" s="13"/>
      <c r="D73" s="13" t="n">
        <v>9</v>
      </c>
      <c r="E73" s="40" t="str">
        <f aca="false">IFERROR(INDEX(Cores!$B$5:$B$21,MATCH(D73,Cores!$A$5:$A$21,0)),"")</f>
        <v>Rutilo mel</v>
      </c>
      <c r="F73" s="13" t="s">
        <v>239</v>
      </c>
      <c r="G73" s="13" t="s">
        <v>230</v>
      </c>
      <c r="H73" s="13" t="s">
        <v>231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</row>
    <row r="74" customFormat="false" ht="15" hidden="false" customHeight="false" outlineLevel="0" collapsed="false">
      <c r="A74" s="30" t="n">
        <v>70</v>
      </c>
      <c r="B74" s="13"/>
      <c r="C74" s="13"/>
      <c r="D74" s="13" t="n">
        <v>9</v>
      </c>
      <c r="E74" s="40" t="str">
        <f aca="false">IFERROR(INDEX(Cores!$B$5:$B$21,MATCH(D74,Cores!$A$5:$A$21,0)),"")</f>
        <v>Rutilo mel</v>
      </c>
      <c r="F74" s="13" t="s">
        <v>239</v>
      </c>
      <c r="G74" s="13" t="s">
        <v>230</v>
      </c>
      <c r="H74" s="13" t="s">
        <v>237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</row>
    <row r="75" customFormat="false" ht="15" hidden="false" customHeight="false" outlineLevel="0" collapsed="false">
      <c r="A75" s="30" t="n">
        <v>71</v>
      </c>
      <c r="B75" s="13"/>
      <c r="C75" s="13"/>
      <c r="D75" s="13" t="n">
        <v>9</v>
      </c>
      <c r="E75" s="40" t="str">
        <f aca="false">IFERROR(INDEX(Cores!$B$5:$B$21,MATCH(D75,Cores!$A$5:$A$21,0)),"")</f>
        <v>Rutilo mel</v>
      </c>
      <c r="F75" s="13" t="s">
        <v>239</v>
      </c>
      <c r="G75" s="13" t="s">
        <v>238</v>
      </c>
      <c r="H75" s="13" t="s">
        <v>231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</row>
    <row r="76" customFormat="false" ht="15" hidden="false" customHeight="false" outlineLevel="0" collapsed="false">
      <c r="A76" s="30" t="n">
        <v>72</v>
      </c>
      <c r="B76" s="13"/>
      <c r="C76" s="13"/>
      <c r="D76" s="13" t="n">
        <v>9</v>
      </c>
      <c r="E76" s="40" t="str">
        <f aca="false">IFERROR(INDEX(Cores!$B$5:$B$21,MATCH(D76,Cores!$A$5:$A$21,0)),"")</f>
        <v>Rutilo mel</v>
      </c>
      <c r="F76" s="13" t="s">
        <v>239</v>
      </c>
      <c r="G76" s="13" t="s">
        <v>238</v>
      </c>
      <c r="H76" s="13" t="s">
        <v>237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</row>
    <row r="77" customFormat="false" ht="15" hidden="false" customHeight="false" outlineLevel="0" collapsed="false">
      <c r="A77" s="30" t="n">
        <v>73</v>
      </c>
      <c r="B77" s="13"/>
      <c r="C77" s="13"/>
      <c r="D77" s="13" t="n">
        <v>10</v>
      </c>
      <c r="E77" s="40" t="str">
        <f aca="false">IFERROR(INDEX(Cores!$B$5:$B$21,MATCH(D77,Cores!$A$5:$A$21,0)),"")</f>
        <v>Creme pintalgado</v>
      </c>
      <c r="F77" s="13" t="s">
        <v>229</v>
      </c>
      <c r="G77" s="13" t="s">
        <v>230</v>
      </c>
      <c r="H77" s="13" t="s">
        <v>231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</row>
    <row r="78" customFormat="false" ht="15" hidden="false" customHeight="false" outlineLevel="0" collapsed="false">
      <c r="A78" s="30" t="n">
        <v>74</v>
      </c>
      <c r="B78" s="13"/>
      <c r="C78" s="13"/>
      <c r="D78" s="13" t="n">
        <v>10</v>
      </c>
      <c r="E78" s="40" t="str">
        <f aca="false">IFERROR(INDEX(Cores!$B$5:$B$21,MATCH(D78,Cores!$A$5:$A$21,0)),"")</f>
        <v>Creme pintalgado</v>
      </c>
      <c r="F78" s="13" t="s">
        <v>229</v>
      </c>
      <c r="G78" s="13" t="s">
        <v>230</v>
      </c>
      <c r="H78" s="13" t="s">
        <v>237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</row>
    <row r="79" customFormat="false" ht="15" hidden="false" customHeight="false" outlineLevel="0" collapsed="false">
      <c r="A79" s="30" t="n">
        <v>75</v>
      </c>
      <c r="B79" s="13"/>
      <c r="C79" s="13"/>
      <c r="D79" s="13" t="n">
        <v>10</v>
      </c>
      <c r="E79" s="40" t="str">
        <f aca="false">IFERROR(INDEX(Cores!$B$5:$B$21,MATCH(D79,Cores!$A$5:$A$21,0)),"")</f>
        <v>Creme pintalgado</v>
      </c>
      <c r="F79" s="13" t="s">
        <v>229</v>
      </c>
      <c r="G79" s="13" t="s">
        <v>238</v>
      </c>
      <c r="H79" s="13" t="s">
        <v>231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</row>
    <row r="80" customFormat="false" ht="15" hidden="false" customHeight="false" outlineLevel="0" collapsed="false">
      <c r="A80" s="30" t="n">
        <v>76</v>
      </c>
      <c r="B80" s="13"/>
      <c r="C80" s="13"/>
      <c r="D80" s="13" t="n">
        <v>10</v>
      </c>
      <c r="E80" s="40" t="str">
        <f aca="false">IFERROR(INDEX(Cores!$B$5:$B$21,MATCH(D80,Cores!$A$5:$A$21,0)),"")</f>
        <v>Creme pintalgado</v>
      </c>
      <c r="F80" s="13" t="s">
        <v>229</v>
      </c>
      <c r="G80" s="13" t="s">
        <v>238</v>
      </c>
      <c r="H80" s="13" t="s">
        <v>237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</row>
    <row r="81" customFormat="false" ht="15" hidden="false" customHeight="false" outlineLevel="0" collapsed="false">
      <c r="A81" s="30" t="n">
        <v>77</v>
      </c>
      <c r="B81" s="13"/>
      <c r="C81" s="13"/>
      <c r="D81" s="13" t="n">
        <v>10</v>
      </c>
      <c r="E81" s="40" t="str">
        <f aca="false">IFERROR(INDEX(Cores!$B$5:$B$21,MATCH(D81,Cores!$A$5:$A$21,0)),"")</f>
        <v>Creme pintalgado</v>
      </c>
      <c r="F81" s="13" t="s">
        <v>239</v>
      </c>
      <c r="G81" s="13" t="s">
        <v>230</v>
      </c>
      <c r="H81" s="13" t="s">
        <v>231</v>
      </c>
      <c r="I81" s="13"/>
      <c r="J81" s="13"/>
      <c r="K81" s="13"/>
      <c r="L81" s="13"/>
      <c r="M81" s="13"/>
      <c r="N81" s="13"/>
      <c r="O81" s="13"/>
      <c r="P81" s="13"/>
      <c r="Q81" s="13"/>
      <c r="R81" s="13"/>
    </row>
    <row r="82" customFormat="false" ht="15" hidden="false" customHeight="false" outlineLevel="0" collapsed="false">
      <c r="A82" s="30" t="n">
        <v>78</v>
      </c>
      <c r="B82" s="13"/>
      <c r="C82" s="13"/>
      <c r="D82" s="13" t="n">
        <v>10</v>
      </c>
      <c r="E82" s="40" t="str">
        <f aca="false">IFERROR(INDEX(Cores!$B$5:$B$21,MATCH(D82,Cores!$A$5:$A$21,0)),"")</f>
        <v>Creme pintalgado</v>
      </c>
      <c r="F82" s="13" t="s">
        <v>239</v>
      </c>
      <c r="G82" s="13" t="s">
        <v>230</v>
      </c>
      <c r="H82" s="13" t="s">
        <v>237</v>
      </c>
      <c r="I82" s="13"/>
      <c r="J82" s="13"/>
      <c r="K82" s="13"/>
      <c r="L82" s="13"/>
      <c r="M82" s="13"/>
      <c r="N82" s="13"/>
      <c r="O82" s="13"/>
      <c r="P82" s="13"/>
      <c r="Q82" s="13"/>
      <c r="R82" s="13"/>
    </row>
    <row r="83" customFormat="false" ht="15" hidden="false" customHeight="false" outlineLevel="0" collapsed="false">
      <c r="A83" s="30" t="n">
        <v>79</v>
      </c>
      <c r="B83" s="13"/>
      <c r="C83" s="13"/>
      <c r="D83" s="13" t="n">
        <v>10</v>
      </c>
      <c r="E83" s="40" t="str">
        <f aca="false">IFERROR(INDEX(Cores!$B$5:$B$21,MATCH(D83,Cores!$A$5:$A$21,0)),"")</f>
        <v>Creme pintalgado</v>
      </c>
      <c r="F83" s="13" t="s">
        <v>239</v>
      </c>
      <c r="G83" s="13" t="s">
        <v>238</v>
      </c>
      <c r="H83" s="13" t="s">
        <v>231</v>
      </c>
      <c r="I83" s="13"/>
      <c r="J83" s="13"/>
      <c r="K83" s="13"/>
      <c r="L83" s="13"/>
      <c r="M83" s="13"/>
      <c r="N83" s="13"/>
      <c r="O83" s="13"/>
      <c r="P83" s="13"/>
      <c r="Q83" s="13"/>
      <c r="R83" s="13"/>
    </row>
    <row r="84" customFormat="false" ht="15" hidden="false" customHeight="false" outlineLevel="0" collapsed="false">
      <c r="A84" s="30" t="n">
        <v>80</v>
      </c>
      <c r="B84" s="13"/>
      <c r="C84" s="13"/>
      <c r="D84" s="13" t="n">
        <v>10</v>
      </c>
      <c r="E84" s="40" t="str">
        <f aca="false">IFERROR(INDEX(Cores!$B$5:$B$21,MATCH(D84,Cores!$A$5:$A$21,0)),"")</f>
        <v>Creme pintalgado</v>
      </c>
      <c r="F84" s="13" t="s">
        <v>239</v>
      </c>
      <c r="G84" s="13" t="s">
        <v>238</v>
      </c>
      <c r="H84" s="13" t="s">
        <v>237</v>
      </c>
      <c r="I84" s="13"/>
      <c r="J84" s="13"/>
      <c r="K84" s="13"/>
      <c r="L84" s="13"/>
      <c r="M84" s="13"/>
      <c r="N84" s="13"/>
      <c r="O84" s="13"/>
      <c r="P84" s="13"/>
      <c r="Q84" s="13"/>
      <c r="R84" s="13"/>
    </row>
    <row r="85" customFormat="false" ht="15" hidden="false" customHeight="false" outlineLevel="0" collapsed="false">
      <c r="A85" s="30" t="n">
        <v>81</v>
      </c>
      <c r="B85" s="13"/>
      <c r="C85" s="13"/>
      <c r="D85" s="13" t="n">
        <v>11</v>
      </c>
      <c r="E85" s="40" t="str">
        <f aca="false">IFERROR(INDEX(Cores!$B$5:$B$21,MATCH(D85,Cores!$A$5:$A$21,0)),"")</f>
        <v>Azul cobalto</v>
      </c>
      <c r="F85" s="13" t="s">
        <v>229</v>
      </c>
      <c r="G85" s="13" t="s">
        <v>230</v>
      </c>
      <c r="H85" s="13" t="s">
        <v>231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</row>
    <row r="86" customFormat="false" ht="15" hidden="false" customHeight="false" outlineLevel="0" collapsed="false">
      <c r="A86" s="30" t="n">
        <v>82</v>
      </c>
      <c r="B86" s="13"/>
      <c r="C86" s="13"/>
      <c r="D86" s="13" t="n">
        <v>11</v>
      </c>
      <c r="E86" s="40" t="str">
        <f aca="false">IFERROR(INDEX(Cores!$B$5:$B$21,MATCH(D86,Cores!$A$5:$A$21,0)),"")</f>
        <v>Azul cobalto</v>
      </c>
      <c r="F86" s="13" t="s">
        <v>229</v>
      </c>
      <c r="G86" s="13" t="s">
        <v>230</v>
      </c>
      <c r="H86" s="13" t="s">
        <v>237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</row>
    <row r="87" customFormat="false" ht="15" hidden="false" customHeight="false" outlineLevel="0" collapsed="false">
      <c r="A87" s="30" t="n">
        <v>83</v>
      </c>
      <c r="B87" s="13"/>
      <c r="C87" s="13"/>
      <c r="D87" s="13" t="n">
        <v>11</v>
      </c>
      <c r="E87" s="40" t="str">
        <f aca="false">IFERROR(INDEX(Cores!$B$5:$B$21,MATCH(D87,Cores!$A$5:$A$21,0)),"")</f>
        <v>Azul cobalto</v>
      </c>
      <c r="F87" s="13" t="s">
        <v>229</v>
      </c>
      <c r="G87" s="13" t="s">
        <v>238</v>
      </c>
      <c r="H87" s="13" t="s">
        <v>231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</row>
    <row r="88" customFormat="false" ht="15" hidden="false" customHeight="false" outlineLevel="0" collapsed="false">
      <c r="A88" s="30" t="n">
        <v>84</v>
      </c>
      <c r="B88" s="13"/>
      <c r="C88" s="13"/>
      <c r="D88" s="13" t="n">
        <v>11</v>
      </c>
      <c r="E88" s="40" t="str">
        <f aca="false">IFERROR(INDEX(Cores!$B$5:$B$21,MATCH(D88,Cores!$A$5:$A$21,0)),"")</f>
        <v>Azul cobalto</v>
      </c>
      <c r="F88" s="13" t="s">
        <v>229</v>
      </c>
      <c r="G88" s="13" t="s">
        <v>238</v>
      </c>
      <c r="H88" s="13" t="s">
        <v>237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</row>
    <row r="89" customFormat="false" ht="15" hidden="false" customHeight="false" outlineLevel="0" collapsed="false">
      <c r="A89" s="30" t="n">
        <v>85</v>
      </c>
      <c r="B89" s="13"/>
      <c r="C89" s="13"/>
      <c r="D89" s="13" t="n">
        <v>11</v>
      </c>
      <c r="E89" s="40" t="str">
        <f aca="false">IFERROR(INDEX(Cores!$B$5:$B$21,MATCH(D89,Cores!$A$5:$A$21,0)),"")</f>
        <v>Azul cobalto</v>
      </c>
      <c r="F89" s="13" t="s">
        <v>239</v>
      </c>
      <c r="G89" s="13" t="s">
        <v>230</v>
      </c>
      <c r="H89" s="13" t="s">
        <v>231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</row>
    <row r="90" customFormat="false" ht="15" hidden="false" customHeight="false" outlineLevel="0" collapsed="false">
      <c r="A90" s="30" t="n">
        <v>86</v>
      </c>
      <c r="B90" s="13"/>
      <c r="C90" s="13"/>
      <c r="D90" s="13" t="n">
        <v>11</v>
      </c>
      <c r="E90" s="40" t="str">
        <f aca="false">IFERROR(INDEX(Cores!$B$5:$B$21,MATCH(D90,Cores!$A$5:$A$21,0)),"")</f>
        <v>Azul cobalto</v>
      </c>
      <c r="F90" s="13" t="s">
        <v>239</v>
      </c>
      <c r="G90" s="13" t="s">
        <v>230</v>
      </c>
      <c r="H90" s="13" t="s">
        <v>237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</row>
    <row r="91" customFormat="false" ht="15" hidden="false" customHeight="false" outlineLevel="0" collapsed="false">
      <c r="A91" s="30" t="n">
        <v>87</v>
      </c>
      <c r="B91" s="13"/>
      <c r="C91" s="13"/>
      <c r="D91" s="13" t="n">
        <v>11</v>
      </c>
      <c r="E91" s="40" t="str">
        <f aca="false">IFERROR(INDEX(Cores!$B$5:$B$21,MATCH(D91,Cores!$A$5:$A$21,0)),"")</f>
        <v>Azul cobalto</v>
      </c>
      <c r="F91" s="13" t="s">
        <v>239</v>
      </c>
      <c r="G91" s="13" t="s">
        <v>238</v>
      </c>
      <c r="H91" s="13" t="s">
        <v>231</v>
      </c>
      <c r="I91" s="13"/>
      <c r="J91" s="13"/>
      <c r="K91" s="13"/>
      <c r="L91" s="13"/>
      <c r="M91" s="13"/>
      <c r="N91" s="13"/>
      <c r="O91" s="13"/>
      <c r="P91" s="13"/>
      <c r="Q91" s="13"/>
      <c r="R91" s="13"/>
    </row>
    <row r="92" customFormat="false" ht="15" hidden="false" customHeight="false" outlineLevel="0" collapsed="false">
      <c r="A92" s="30" t="n">
        <v>88</v>
      </c>
      <c r="B92" s="13"/>
      <c r="C92" s="13"/>
      <c r="D92" s="13" t="n">
        <v>11</v>
      </c>
      <c r="E92" s="40" t="str">
        <f aca="false">IFERROR(INDEX(Cores!$B$5:$B$21,MATCH(D92,Cores!$A$5:$A$21,0)),"")</f>
        <v>Azul cobalto</v>
      </c>
      <c r="F92" s="13" t="s">
        <v>239</v>
      </c>
      <c r="G92" s="13" t="s">
        <v>238</v>
      </c>
      <c r="H92" s="13" t="s">
        <v>237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</row>
    <row r="93" customFormat="false" ht="15" hidden="false" customHeight="false" outlineLevel="0" collapsed="false">
      <c r="A93" s="30" t="n">
        <v>89</v>
      </c>
      <c r="B93" s="13"/>
      <c r="C93" s="13"/>
      <c r="D93" s="13" t="n">
        <v>12</v>
      </c>
      <c r="E93" s="40" t="str">
        <f aca="false">IFERROR(INDEX(Cores!$B$5:$B$21,MATCH(D93,Cores!$A$5:$A$21,0)),"")</f>
        <v>Turquesa</v>
      </c>
      <c r="F93" s="13" t="s">
        <v>229</v>
      </c>
      <c r="G93" s="13" t="s">
        <v>230</v>
      </c>
      <c r="H93" s="13" t="s">
        <v>231</v>
      </c>
      <c r="I93" s="13"/>
      <c r="J93" s="13"/>
      <c r="K93" s="13"/>
      <c r="L93" s="13"/>
      <c r="M93" s="13"/>
      <c r="N93" s="13"/>
      <c r="O93" s="13"/>
      <c r="P93" s="13"/>
      <c r="Q93" s="13"/>
      <c r="R93" s="13"/>
    </row>
    <row r="94" customFormat="false" ht="15" hidden="false" customHeight="false" outlineLevel="0" collapsed="false">
      <c r="A94" s="30" t="n">
        <v>90</v>
      </c>
      <c r="B94" s="13"/>
      <c r="C94" s="13"/>
      <c r="D94" s="13" t="n">
        <v>12</v>
      </c>
      <c r="E94" s="40" t="str">
        <f aca="false">IFERROR(INDEX(Cores!$B$5:$B$21,MATCH(D94,Cores!$A$5:$A$21,0)),"")</f>
        <v>Turquesa</v>
      </c>
      <c r="F94" s="13" t="s">
        <v>229</v>
      </c>
      <c r="G94" s="13" t="s">
        <v>230</v>
      </c>
      <c r="H94" s="13" t="s">
        <v>237</v>
      </c>
      <c r="I94" s="13"/>
      <c r="J94" s="13"/>
      <c r="K94" s="13"/>
      <c r="L94" s="13"/>
      <c r="M94" s="13"/>
      <c r="N94" s="13"/>
      <c r="O94" s="13"/>
      <c r="P94" s="13"/>
      <c r="Q94" s="13"/>
      <c r="R94" s="13"/>
    </row>
    <row r="95" customFormat="false" ht="15" hidden="false" customHeight="false" outlineLevel="0" collapsed="false">
      <c r="A95" s="30" t="n">
        <v>91</v>
      </c>
      <c r="B95" s="13"/>
      <c r="C95" s="13"/>
      <c r="D95" s="13" t="n">
        <v>12</v>
      </c>
      <c r="E95" s="40" t="str">
        <f aca="false">IFERROR(INDEX(Cores!$B$5:$B$21,MATCH(D95,Cores!$A$5:$A$21,0)),"")</f>
        <v>Turquesa</v>
      </c>
      <c r="F95" s="13" t="s">
        <v>229</v>
      </c>
      <c r="G95" s="13" t="s">
        <v>238</v>
      </c>
      <c r="H95" s="13" t="s">
        <v>231</v>
      </c>
      <c r="I95" s="13"/>
      <c r="J95" s="13"/>
      <c r="K95" s="13"/>
      <c r="L95" s="13"/>
      <c r="M95" s="13"/>
      <c r="N95" s="13"/>
      <c r="O95" s="13"/>
      <c r="P95" s="13"/>
      <c r="Q95" s="13"/>
      <c r="R95" s="13"/>
    </row>
    <row r="96" customFormat="false" ht="15" hidden="false" customHeight="false" outlineLevel="0" collapsed="false">
      <c r="A96" s="30" t="n">
        <v>92</v>
      </c>
      <c r="B96" s="13"/>
      <c r="C96" s="13"/>
      <c r="D96" s="13" t="n">
        <v>12</v>
      </c>
      <c r="E96" s="40" t="str">
        <f aca="false">IFERROR(INDEX(Cores!$B$5:$B$21,MATCH(D96,Cores!$A$5:$A$21,0)),"")</f>
        <v>Turquesa</v>
      </c>
      <c r="F96" s="13" t="s">
        <v>229</v>
      </c>
      <c r="G96" s="13" t="s">
        <v>238</v>
      </c>
      <c r="H96" s="13" t="s">
        <v>237</v>
      </c>
      <c r="I96" s="13"/>
      <c r="J96" s="13"/>
      <c r="K96" s="13"/>
      <c r="L96" s="13"/>
      <c r="M96" s="13"/>
      <c r="N96" s="13"/>
      <c r="O96" s="13"/>
      <c r="P96" s="13"/>
      <c r="Q96" s="13"/>
      <c r="R96" s="13"/>
    </row>
    <row r="97" customFormat="false" ht="15" hidden="false" customHeight="false" outlineLevel="0" collapsed="false">
      <c r="A97" s="30" t="n">
        <v>93</v>
      </c>
      <c r="B97" s="13"/>
      <c r="C97" s="13"/>
      <c r="D97" s="13" t="n">
        <v>12</v>
      </c>
      <c r="E97" s="40" t="str">
        <f aca="false">IFERROR(INDEX(Cores!$B$5:$B$21,MATCH(D97,Cores!$A$5:$A$21,0)),"")</f>
        <v>Turquesa</v>
      </c>
      <c r="F97" s="13" t="s">
        <v>239</v>
      </c>
      <c r="G97" s="13" t="s">
        <v>230</v>
      </c>
      <c r="H97" s="13" t="s">
        <v>231</v>
      </c>
      <c r="I97" s="13"/>
      <c r="J97" s="13"/>
      <c r="K97" s="13"/>
      <c r="L97" s="13"/>
      <c r="M97" s="13"/>
      <c r="N97" s="13"/>
      <c r="O97" s="13"/>
      <c r="P97" s="13"/>
      <c r="Q97" s="13"/>
      <c r="R97" s="13"/>
    </row>
    <row r="98" customFormat="false" ht="15" hidden="false" customHeight="false" outlineLevel="0" collapsed="false">
      <c r="A98" s="30" t="n">
        <v>94</v>
      </c>
      <c r="B98" s="13"/>
      <c r="C98" s="13"/>
      <c r="D98" s="13" t="n">
        <v>12</v>
      </c>
      <c r="E98" s="40" t="str">
        <f aca="false">IFERROR(INDEX(Cores!$B$5:$B$21,MATCH(D98,Cores!$A$5:$A$21,0)),"")</f>
        <v>Turquesa</v>
      </c>
      <c r="F98" s="13" t="s">
        <v>239</v>
      </c>
      <c r="G98" s="13" t="s">
        <v>230</v>
      </c>
      <c r="H98" s="13" t="s">
        <v>237</v>
      </c>
      <c r="I98" s="13"/>
      <c r="J98" s="13"/>
      <c r="K98" s="13"/>
      <c r="L98" s="13"/>
      <c r="M98" s="13"/>
      <c r="N98" s="13"/>
      <c r="O98" s="13"/>
      <c r="P98" s="13"/>
      <c r="Q98" s="13"/>
      <c r="R98" s="13"/>
    </row>
    <row r="99" customFormat="false" ht="15" hidden="false" customHeight="false" outlineLevel="0" collapsed="false">
      <c r="A99" s="30" t="n">
        <v>95</v>
      </c>
      <c r="B99" s="13"/>
      <c r="C99" s="13"/>
      <c r="D99" s="13" t="n">
        <v>12</v>
      </c>
      <c r="E99" s="40" t="str">
        <f aca="false">IFERROR(INDEX(Cores!$B$5:$B$21,MATCH(D99,Cores!$A$5:$A$21,0)),"")</f>
        <v>Turquesa</v>
      </c>
      <c r="F99" s="13" t="s">
        <v>239</v>
      </c>
      <c r="G99" s="13" t="s">
        <v>238</v>
      </c>
      <c r="H99" s="13" t="s">
        <v>231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</row>
    <row r="100" customFormat="false" ht="15" hidden="false" customHeight="false" outlineLevel="0" collapsed="false">
      <c r="A100" s="30" t="n">
        <v>96</v>
      </c>
      <c r="B100" s="13"/>
      <c r="C100" s="13"/>
      <c r="D100" s="13" t="n">
        <v>12</v>
      </c>
      <c r="E100" s="40" t="str">
        <f aca="false">IFERROR(INDEX(Cores!$B$5:$B$21,MATCH(D100,Cores!$A$5:$A$21,0)),"")</f>
        <v>Turquesa</v>
      </c>
      <c r="F100" s="13" t="s">
        <v>239</v>
      </c>
      <c r="G100" s="13" t="s">
        <v>238</v>
      </c>
      <c r="H100" s="13" t="s">
        <v>237</v>
      </c>
      <c r="I100" s="13"/>
      <c r="J100" s="13"/>
      <c r="K100" s="13"/>
      <c r="L100" s="13"/>
      <c r="M100" s="13"/>
      <c r="N100" s="13"/>
      <c r="O100" s="13"/>
      <c r="P100" s="13"/>
      <c r="Q100" s="13"/>
      <c r="R100" s="13"/>
    </row>
    <row r="101" customFormat="false" ht="15" hidden="false" customHeight="false" outlineLevel="0" collapsed="false">
      <c r="A101" s="30" t="n">
        <v>97</v>
      </c>
      <c r="B101" s="13"/>
      <c r="C101" s="13"/>
      <c r="D101" s="13" t="n">
        <v>13</v>
      </c>
      <c r="E101" s="40" t="str">
        <f aca="false">IFERROR(INDEX(Cores!$B$5:$B$21,MATCH(D101,Cores!$A$5:$A$21,0)),"")</f>
        <v>Amarelo</v>
      </c>
      <c r="F101" s="13" t="s">
        <v>229</v>
      </c>
      <c r="G101" s="13" t="s">
        <v>230</v>
      </c>
      <c r="H101" s="13" t="s">
        <v>231</v>
      </c>
      <c r="I101" s="13"/>
      <c r="J101" s="13"/>
      <c r="K101" s="13"/>
      <c r="L101" s="13"/>
      <c r="M101" s="13"/>
      <c r="N101" s="13"/>
      <c r="O101" s="13"/>
      <c r="P101" s="13"/>
      <c r="Q101" s="13"/>
      <c r="R101" s="13"/>
    </row>
    <row r="102" customFormat="false" ht="15" hidden="false" customHeight="false" outlineLevel="0" collapsed="false">
      <c r="A102" s="30" t="n">
        <v>98</v>
      </c>
      <c r="B102" s="13"/>
      <c r="C102" s="13"/>
      <c r="D102" s="13" t="n">
        <v>13</v>
      </c>
      <c r="E102" s="40" t="str">
        <f aca="false">IFERROR(INDEX(Cores!$B$5:$B$21,MATCH(D102,Cores!$A$5:$A$21,0)),"")</f>
        <v>Amarelo</v>
      </c>
      <c r="F102" s="13" t="s">
        <v>229</v>
      </c>
      <c r="G102" s="13" t="s">
        <v>230</v>
      </c>
      <c r="H102" s="13" t="s">
        <v>237</v>
      </c>
      <c r="I102" s="13"/>
      <c r="J102" s="13"/>
      <c r="K102" s="13"/>
      <c r="L102" s="13"/>
      <c r="M102" s="13"/>
      <c r="N102" s="13"/>
      <c r="O102" s="13"/>
      <c r="P102" s="13"/>
      <c r="Q102" s="13"/>
      <c r="R102" s="13"/>
    </row>
    <row r="103" customFormat="false" ht="15" hidden="false" customHeight="false" outlineLevel="0" collapsed="false">
      <c r="A103" s="30" t="n">
        <v>99</v>
      </c>
      <c r="B103" s="13"/>
      <c r="C103" s="13"/>
      <c r="D103" s="13" t="n">
        <v>13</v>
      </c>
      <c r="E103" s="40" t="str">
        <f aca="false">IFERROR(INDEX(Cores!$B$5:$B$21,MATCH(D103,Cores!$A$5:$A$21,0)),"")</f>
        <v>Amarelo</v>
      </c>
      <c r="F103" s="13" t="s">
        <v>229</v>
      </c>
      <c r="G103" s="13" t="s">
        <v>238</v>
      </c>
      <c r="H103" s="13" t="s">
        <v>231</v>
      </c>
      <c r="I103" s="13"/>
      <c r="J103" s="13"/>
      <c r="K103" s="13"/>
      <c r="L103" s="13"/>
      <c r="M103" s="13"/>
      <c r="N103" s="13"/>
      <c r="O103" s="13"/>
      <c r="P103" s="13"/>
      <c r="Q103" s="13"/>
      <c r="R103" s="13"/>
    </row>
    <row r="104" customFormat="false" ht="15" hidden="false" customHeight="false" outlineLevel="0" collapsed="false">
      <c r="A104" s="30" t="n">
        <v>100</v>
      </c>
      <c r="B104" s="13"/>
      <c r="C104" s="13"/>
      <c r="D104" s="13" t="n">
        <v>13</v>
      </c>
      <c r="E104" s="40" t="str">
        <f aca="false">IFERROR(INDEX(Cores!$B$5:$B$21,MATCH(D104,Cores!$A$5:$A$21,0)),"")</f>
        <v>Amarelo</v>
      </c>
      <c r="F104" s="13" t="s">
        <v>229</v>
      </c>
      <c r="G104" s="13" t="s">
        <v>238</v>
      </c>
      <c r="H104" s="13" t="s">
        <v>237</v>
      </c>
      <c r="I104" s="13"/>
      <c r="J104" s="13"/>
      <c r="K104" s="13"/>
      <c r="L104" s="13"/>
      <c r="M104" s="13"/>
      <c r="N104" s="13"/>
      <c r="O104" s="13"/>
      <c r="P104" s="13"/>
      <c r="Q104" s="13"/>
      <c r="R104" s="13"/>
    </row>
    <row r="105" customFormat="false" ht="15" hidden="false" customHeight="false" outlineLevel="0" collapsed="false">
      <c r="A105" s="30" t="n">
        <v>101</v>
      </c>
      <c r="B105" s="13"/>
      <c r="C105" s="13"/>
      <c r="D105" s="13" t="n">
        <v>13</v>
      </c>
      <c r="E105" s="40" t="str">
        <f aca="false">IFERROR(INDEX(Cores!$B$5:$B$21,MATCH(D105,Cores!$A$5:$A$21,0)),"")</f>
        <v>Amarelo</v>
      </c>
      <c r="F105" s="13" t="s">
        <v>239</v>
      </c>
      <c r="G105" s="13" t="s">
        <v>230</v>
      </c>
      <c r="H105" s="13" t="s">
        <v>231</v>
      </c>
      <c r="I105" s="13"/>
      <c r="J105" s="13"/>
      <c r="K105" s="13"/>
      <c r="L105" s="13"/>
      <c r="M105" s="13"/>
      <c r="N105" s="13"/>
      <c r="O105" s="13"/>
      <c r="P105" s="13"/>
      <c r="Q105" s="13"/>
      <c r="R105" s="13"/>
    </row>
    <row r="106" customFormat="false" ht="15" hidden="false" customHeight="false" outlineLevel="0" collapsed="false">
      <c r="A106" s="30" t="n">
        <v>102</v>
      </c>
      <c r="B106" s="13"/>
      <c r="C106" s="13"/>
      <c r="D106" s="13" t="n">
        <v>13</v>
      </c>
      <c r="E106" s="40" t="str">
        <f aca="false">IFERROR(INDEX(Cores!$B$5:$B$21,MATCH(D106,Cores!$A$5:$A$21,0)),"")</f>
        <v>Amarelo</v>
      </c>
      <c r="F106" s="13" t="s">
        <v>239</v>
      </c>
      <c r="G106" s="13" t="s">
        <v>230</v>
      </c>
      <c r="H106" s="13" t="s">
        <v>237</v>
      </c>
      <c r="I106" s="13"/>
      <c r="J106" s="13"/>
      <c r="K106" s="13"/>
      <c r="L106" s="13"/>
      <c r="M106" s="13"/>
      <c r="N106" s="13"/>
      <c r="O106" s="13"/>
      <c r="P106" s="13"/>
      <c r="Q106" s="13"/>
      <c r="R106" s="13"/>
    </row>
    <row r="107" customFormat="false" ht="15" hidden="false" customHeight="false" outlineLevel="0" collapsed="false">
      <c r="A107" s="30" t="n">
        <v>103</v>
      </c>
      <c r="B107" s="13"/>
      <c r="C107" s="13"/>
      <c r="D107" s="13" t="n">
        <v>13</v>
      </c>
      <c r="E107" s="40" t="str">
        <f aca="false">IFERROR(INDEX(Cores!$B$5:$B$21,MATCH(D107,Cores!$A$5:$A$21,0)),"")</f>
        <v>Amarelo</v>
      </c>
      <c r="F107" s="13" t="s">
        <v>239</v>
      </c>
      <c r="G107" s="13" t="s">
        <v>238</v>
      </c>
      <c r="H107" s="13" t="s">
        <v>231</v>
      </c>
      <c r="I107" s="13"/>
      <c r="J107" s="13"/>
      <c r="K107" s="13"/>
      <c r="L107" s="13"/>
      <c r="M107" s="13"/>
      <c r="N107" s="13"/>
      <c r="O107" s="13"/>
      <c r="P107" s="13"/>
      <c r="Q107" s="13"/>
      <c r="R107" s="13"/>
    </row>
    <row r="108" customFormat="false" ht="15" hidden="false" customHeight="false" outlineLevel="0" collapsed="false">
      <c r="A108" s="30" t="n">
        <v>104</v>
      </c>
      <c r="B108" s="13"/>
      <c r="C108" s="13"/>
      <c r="D108" s="13" t="n">
        <v>13</v>
      </c>
      <c r="E108" s="40" t="str">
        <f aca="false">IFERROR(INDEX(Cores!$B$5:$B$21,MATCH(D108,Cores!$A$5:$A$21,0)),"")</f>
        <v>Amarelo</v>
      </c>
      <c r="F108" s="13" t="s">
        <v>239</v>
      </c>
      <c r="G108" s="13" t="s">
        <v>238</v>
      </c>
      <c r="H108" s="13" t="s">
        <v>237</v>
      </c>
      <c r="I108" s="13"/>
      <c r="J108" s="13"/>
      <c r="K108" s="13"/>
      <c r="L108" s="13"/>
      <c r="M108" s="13"/>
      <c r="N108" s="13"/>
      <c r="O108" s="13"/>
      <c r="P108" s="13"/>
      <c r="Q108" s="13"/>
      <c r="R108" s="13"/>
    </row>
    <row r="109" customFormat="false" ht="15" hidden="false" customHeight="false" outlineLevel="0" collapsed="false">
      <c r="A109" s="30" t="n">
        <v>105</v>
      </c>
      <c r="B109" s="13"/>
      <c r="C109" s="13"/>
      <c r="D109" s="13" t="n">
        <v>14</v>
      </c>
      <c r="E109" s="40" t="str">
        <f aca="false">IFERROR(INDEX(Cores!$B$5:$B$21,MATCH(D109,Cores!$A$5:$A$21,0)),"")</f>
        <v>Rosa coral</v>
      </c>
      <c r="F109" s="13" t="s">
        <v>229</v>
      </c>
      <c r="G109" s="13" t="s">
        <v>230</v>
      </c>
      <c r="H109" s="13" t="s">
        <v>231</v>
      </c>
      <c r="I109" s="13"/>
      <c r="J109" s="13"/>
      <c r="K109" s="13"/>
      <c r="L109" s="13"/>
      <c r="M109" s="13"/>
      <c r="N109" s="13"/>
      <c r="O109" s="13"/>
      <c r="P109" s="13"/>
      <c r="Q109" s="13"/>
      <c r="R109" s="13"/>
    </row>
    <row r="110" customFormat="false" ht="15" hidden="false" customHeight="false" outlineLevel="0" collapsed="false">
      <c r="A110" s="30" t="n">
        <v>106</v>
      </c>
      <c r="B110" s="13"/>
      <c r="C110" s="13"/>
      <c r="D110" s="13" t="n">
        <v>14</v>
      </c>
      <c r="E110" s="40" t="str">
        <f aca="false">IFERROR(INDEX(Cores!$B$5:$B$21,MATCH(D110,Cores!$A$5:$A$21,0)),"")</f>
        <v>Rosa coral</v>
      </c>
      <c r="F110" s="13" t="s">
        <v>229</v>
      </c>
      <c r="G110" s="13" t="s">
        <v>230</v>
      </c>
      <c r="H110" s="13" t="s">
        <v>237</v>
      </c>
      <c r="I110" s="13"/>
      <c r="J110" s="13"/>
      <c r="K110" s="13"/>
      <c r="L110" s="13"/>
      <c r="M110" s="13"/>
      <c r="N110" s="13"/>
      <c r="O110" s="13"/>
      <c r="P110" s="13"/>
      <c r="Q110" s="13"/>
      <c r="R110" s="13"/>
    </row>
    <row r="111" customFormat="false" ht="15" hidden="false" customHeight="false" outlineLevel="0" collapsed="false">
      <c r="A111" s="30" t="n">
        <v>107</v>
      </c>
      <c r="B111" s="13"/>
      <c r="C111" s="13"/>
      <c r="D111" s="13" t="n">
        <v>14</v>
      </c>
      <c r="E111" s="40" t="str">
        <f aca="false">IFERROR(INDEX(Cores!$B$5:$B$21,MATCH(D111,Cores!$A$5:$A$21,0)),"")</f>
        <v>Rosa coral</v>
      </c>
      <c r="F111" s="13" t="s">
        <v>229</v>
      </c>
      <c r="G111" s="13" t="s">
        <v>238</v>
      </c>
      <c r="H111" s="13" t="s">
        <v>231</v>
      </c>
      <c r="I111" s="13"/>
      <c r="J111" s="13"/>
      <c r="K111" s="13"/>
      <c r="L111" s="13"/>
      <c r="M111" s="13"/>
      <c r="N111" s="13"/>
      <c r="O111" s="13"/>
      <c r="P111" s="13"/>
      <c r="Q111" s="13"/>
      <c r="R111" s="13"/>
    </row>
    <row r="112" customFormat="false" ht="15" hidden="false" customHeight="false" outlineLevel="0" collapsed="false">
      <c r="A112" s="30" t="n">
        <v>108</v>
      </c>
      <c r="B112" s="13"/>
      <c r="C112" s="13"/>
      <c r="D112" s="13" t="n">
        <v>14</v>
      </c>
      <c r="E112" s="40" t="str">
        <f aca="false">IFERROR(INDEX(Cores!$B$5:$B$21,MATCH(D112,Cores!$A$5:$A$21,0)),"")</f>
        <v>Rosa coral</v>
      </c>
      <c r="F112" s="13" t="s">
        <v>229</v>
      </c>
      <c r="G112" s="13" t="s">
        <v>238</v>
      </c>
      <c r="H112" s="13" t="s">
        <v>237</v>
      </c>
      <c r="I112" s="13"/>
      <c r="J112" s="13"/>
      <c r="K112" s="13"/>
      <c r="L112" s="13"/>
      <c r="M112" s="13"/>
      <c r="N112" s="13"/>
      <c r="O112" s="13"/>
      <c r="P112" s="13"/>
      <c r="Q112" s="13"/>
      <c r="R112" s="13"/>
    </row>
    <row r="113" customFormat="false" ht="15" hidden="false" customHeight="false" outlineLevel="0" collapsed="false">
      <c r="A113" s="30" t="n">
        <v>109</v>
      </c>
      <c r="B113" s="13"/>
      <c r="C113" s="13"/>
      <c r="D113" s="13" t="n">
        <v>14</v>
      </c>
      <c r="E113" s="40" t="str">
        <f aca="false">IFERROR(INDEX(Cores!$B$5:$B$21,MATCH(D113,Cores!$A$5:$A$21,0)),"")</f>
        <v>Rosa coral</v>
      </c>
      <c r="F113" s="13" t="s">
        <v>239</v>
      </c>
      <c r="G113" s="13" t="s">
        <v>230</v>
      </c>
      <c r="H113" s="13" t="s">
        <v>231</v>
      </c>
      <c r="I113" s="13"/>
      <c r="J113" s="13"/>
      <c r="K113" s="13"/>
      <c r="L113" s="13"/>
      <c r="M113" s="13"/>
      <c r="N113" s="13"/>
      <c r="O113" s="13"/>
      <c r="P113" s="13"/>
      <c r="Q113" s="13"/>
      <c r="R113" s="13"/>
    </row>
    <row r="114" customFormat="false" ht="15" hidden="false" customHeight="false" outlineLevel="0" collapsed="false">
      <c r="A114" s="30" t="n">
        <v>110</v>
      </c>
      <c r="B114" s="13"/>
      <c r="C114" s="13"/>
      <c r="D114" s="13" t="n">
        <v>14</v>
      </c>
      <c r="E114" s="40" t="str">
        <f aca="false">IFERROR(INDEX(Cores!$B$5:$B$21,MATCH(D114,Cores!$A$5:$A$21,0)),"")</f>
        <v>Rosa coral</v>
      </c>
      <c r="F114" s="13" t="s">
        <v>239</v>
      </c>
      <c r="G114" s="13" t="s">
        <v>230</v>
      </c>
      <c r="H114" s="13" t="s">
        <v>237</v>
      </c>
      <c r="I114" s="13"/>
      <c r="J114" s="13"/>
      <c r="K114" s="13"/>
      <c r="L114" s="13"/>
      <c r="M114" s="13"/>
      <c r="N114" s="13"/>
      <c r="O114" s="13"/>
      <c r="P114" s="13"/>
      <c r="Q114" s="13"/>
      <c r="R114" s="13"/>
    </row>
    <row r="115" customFormat="false" ht="15" hidden="false" customHeight="false" outlineLevel="0" collapsed="false">
      <c r="A115" s="30" t="n">
        <v>111</v>
      </c>
      <c r="B115" s="13"/>
      <c r="C115" s="13"/>
      <c r="D115" s="13" t="n">
        <v>14</v>
      </c>
      <c r="E115" s="40" t="str">
        <f aca="false">IFERROR(INDEX(Cores!$B$5:$B$21,MATCH(D115,Cores!$A$5:$A$21,0)),"")</f>
        <v>Rosa coral</v>
      </c>
      <c r="F115" s="13" t="s">
        <v>239</v>
      </c>
      <c r="G115" s="13" t="s">
        <v>238</v>
      </c>
      <c r="H115" s="13" t="s">
        <v>231</v>
      </c>
      <c r="I115" s="13"/>
      <c r="J115" s="13"/>
      <c r="K115" s="13"/>
      <c r="L115" s="13"/>
      <c r="M115" s="13"/>
      <c r="N115" s="13"/>
      <c r="O115" s="13"/>
      <c r="P115" s="13"/>
      <c r="Q115" s="13"/>
      <c r="R115" s="13"/>
    </row>
    <row r="116" customFormat="false" ht="15" hidden="false" customHeight="false" outlineLevel="0" collapsed="false">
      <c r="A116" s="30" t="n">
        <v>112</v>
      </c>
      <c r="B116" s="13"/>
      <c r="C116" s="13"/>
      <c r="D116" s="13" t="n">
        <v>14</v>
      </c>
      <c r="E116" s="40" t="str">
        <f aca="false">IFERROR(INDEX(Cores!$B$5:$B$21,MATCH(D116,Cores!$A$5:$A$21,0)),"")</f>
        <v>Rosa coral</v>
      </c>
      <c r="F116" s="13" t="s">
        <v>239</v>
      </c>
      <c r="G116" s="13" t="s">
        <v>238</v>
      </c>
      <c r="H116" s="13" t="s">
        <v>237</v>
      </c>
      <c r="I116" s="13"/>
      <c r="J116" s="13"/>
      <c r="K116" s="13"/>
      <c r="L116" s="13"/>
      <c r="M116" s="13"/>
      <c r="N116" s="13"/>
      <c r="O116" s="13"/>
      <c r="P116" s="13"/>
      <c r="Q116" s="13"/>
      <c r="R116" s="13"/>
    </row>
    <row r="117" customFormat="false" ht="15" hidden="false" customHeight="false" outlineLevel="0" collapsed="false">
      <c r="A117" s="30" t="n">
        <v>113</v>
      </c>
      <c r="B117" s="13"/>
      <c r="C117" s="13"/>
      <c r="D117" s="13" t="n">
        <v>15</v>
      </c>
      <c r="E117" s="40" t="str">
        <f aca="false">IFERROR(INDEX(Cores!$B$5:$B$21,MATCH(D117,Cores!$A$5:$A$21,0)),"")</f>
        <v>Ferrugem</v>
      </c>
      <c r="F117" s="13" t="s">
        <v>229</v>
      </c>
      <c r="G117" s="13" t="s">
        <v>230</v>
      </c>
      <c r="H117" s="13" t="s">
        <v>231</v>
      </c>
      <c r="I117" s="13"/>
      <c r="J117" s="13"/>
      <c r="K117" s="13"/>
      <c r="L117" s="13"/>
      <c r="M117" s="13"/>
      <c r="N117" s="13"/>
      <c r="O117" s="13"/>
      <c r="P117" s="13"/>
      <c r="Q117" s="13"/>
      <c r="R117" s="13"/>
    </row>
    <row r="118" customFormat="false" ht="15" hidden="false" customHeight="false" outlineLevel="0" collapsed="false">
      <c r="A118" s="30" t="n">
        <v>114</v>
      </c>
      <c r="B118" s="13"/>
      <c r="C118" s="13"/>
      <c r="D118" s="13" t="n">
        <v>15</v>
      </c>
      <c r="E118" s="40" t="str">
        <f aca="false">IFERROR(INDEX(Cores!$B$5:$B$21,MATCH(D118,Cores!$A$5:$A$21,0)),"")</f>
        <v>Ferrugem</v>
      </c>
      <c r="F118" s="13" t="s">
        <v>229</v>
      </c>
      <c r="G118" s="13" t="s">
        <v>230</v>
      </c>
      <c r="H118" s="13" t="s">
        <v>237</v>
      </c>
      <c r="I118" s="13"/>
      <c r="J118" s="13"/>
      <c r="K118" s="13"/>
      <c r="L118" s="13"/>
      <c r="M118" s="13"/>
      <c r="N118" s="13"/>
      <c r="O118" s="13"/>
      <c r="P118" s="13"/>
      <c r="Q118" s="13"/>
      <c r="R118" s="13"/>
    </row>
    <row r="119" customFormat="false" ht="15" hidden="false" customHeight="false" outlineLevel="0" collapsed="false">
      <c r="A119" s="30" t="n">
        <v>115</v>
      </c>
      <c r="B119" s="13"/>
      <c r="C119" s="13"/>
      <c r="D119" s="13" t="n">
        <v>15</v>
      </c>
      <c r="E119" s="40" t="str">
        <f aca="false">IFERROR(INDEX(Cores!$B$5:$B$21,MATCH(D119,Cores!$A$5:$A$21,0)),"")</f>
        <v>Ferrugem</v>
      </c>
      <c r="F119" s="13" t="s">
        <v>229</v>
      </c>
      <c r="G119" s="13" t="s">
        <v>238</v>
      </c>
      <c r="H119" s="13" t="s">
        <v>231</v>
      </c>
      <c r="I119" s="13"/>
      <c r="J119" s="13"/>
      <c r="K119" s="13"/>
      <c r="L119" s="13"/>
      <c r="M119" s="13"/>
      <c r="N119" s="13"/>
      <c r="O119" s="13"/>
      <c r="P119" s="13"/>
      <c r="Q119" s="13"/>
      <c r="R119" s="13"/>
    </row>
    <row r="120" customFormat="false" ht="15" hidden="false" customHeight="false" outlineLevel="0" collapsed="false">
      <c r="A120" s="30" t="n">
        <v>116</v>
      </c>
      <c r="B120" s="13"/>
      <c r="C120" s="13"/>
      <c r="D120" s="13" t="n">
        <v>15</v>
      </c>
      <c r="E120" s="40" t="str">
        <f aca="false">IFERROR(INDEX(Cores!$B$5:$B$21,MATCH(D120,Cores!$A$5:$A$21,0)),"")</f>
        <v>Ferrugem</v>
      </c>
      <c r="F120" s="13" t="s">
        <v>229</v>
      </c>
      <c r="G120" s="13" t="s">
        <v>238</v>
      </c>
      <c r="H120" s="13" t="s">
        <v>237</v>
      </c>
      <c r="I120" s="13"/>
      <c r="J120" s="13"/>
      <c r="K120" s="13"/>
      <c r="L120" s="13"/>
      <c r="M120" s="13"/>
      <c r="N120" s="13"/>
      <c r="O120" s="13"/>
      <c r="P120" s="13"/>
      <c r="Q120" s="13"/>
      <c r="R120" s="13"/>
    </row>
    <row r="121" customFormat="false" ht="15" hidden="false" customHeight="false" outlineLevel="0" collapsed="false">
      <c r="A121" s="30" t="n">
        <v>117</v>
      </c>
      <c r="B121" s="13"/>
      <c r="C121" s="13"/>
      <c r="D121" s="13" t="n">
        <v>15</v>
      </c>
      <c r="E121" s="40" t="str">
        <f aca="false">IFERROR(INDEX(Cores!$B$5:$B$21,MATCH(D121,Cores!$A$5:$A$21,0)),"")</f>
        <v>Ferrugem</v>
      </c>
      <c r="F121" s="13" t="s">
        <v>239</v>
      </c>
      <c r="G121" s="13" t="s">
        <v>230</v>
      </c>
      <c r="H121" s="13" t="s">
        <v>231</v>
      </c>
      <c r="I121" s="13"/>
      <c r="J121" s="13"/>
      <c r="K121" s="13"/>
      <c r="L121" s="13"/>
      <c r="M121" s="13"/>
      <c r="N121" s="13"/>
      <c r="O121" s="13"/>
      <c r="P121" s="13"/>
      <c r="Q121" s="13"/>
      <c r="R121" s="13"/>
    </row>
    <row r="122" customFormat="false" ht="15" hidden="false" customHeight="false" outlineLevel="0" collapsed="false">
      <c r="A122" s="30" t="n">
        <v>118</v>
      </c>
      <c r="B122" s="13"/>
      <c r="C122" s="13"/>
      <c r="D122" s="13" t="n">
        <v>15</v>
      </c>
      <c r="E122" s="40" t="str">
        <f aca="false">IFERROR(INDEX(Cores!$B$5:$B$21,MATCH(D122,Cores!$A$5:$A$21,0)),"")</f>
        <v>Ferrugem</v>
      </c>
      <c r="F122" s="13" t="s">
        <v>239</v>
      </c>
      <c r="G122" s="13" t="s">
        <v>230</v>
      </c>
      <c r="H122" s="13" t="s">
        <v>237</v>
      </c>
      <c r="I122" s="13"/>
      <c r="J122" s="13"/>
      <c r="K122" s="13"/>
      <c r="L122" s="13"/>
      <c r="M122" s="13"/>
      <c r="N122" s="13"/>
      <c r="O122" s="13"/>
      <c r="P122" s="13"/>
      <c r="Q122" s="13"/>
      <c r="R122" s="13"/>
    </row>
    <row r="123" customFormat="false" ht="15" hidden="false" customHeight="false" outlineLevel="0" collapsed="false">
      <c r="A123" s="30" t="n">
        <v>119</v>
      </c>
      <c r="B123" s="13"/>
      <c r="C123" s="13"/>
      <c r="D123" s="13" t="n">
        <v>15</v>
      </c>
      <c r="E123" s="40" t="str">
        <f aca="false">IFERROR(INDEX(Cores!$B$5:$B$21,MATCH(D123,Cores!$A$5:$A$21,0)),"")</f>
        <v>Ferrugem</v>
      </c>
      <c r="F123" s="13" t="s">
        <v>239</v>
      </c>
      <c r="G123" s="13" t="s">
        <v>238</v>
      </c>
      <c r="H123" s="13" t="s">
        <v>231</v>
      </c>
      <c r="I123" s="13"/>
      <c r="J123" s="13"/>
      <c r="K123" s="13"/>
      <c r="L123" s="13"/>
      <c r="M123" s="13"/>
      <c r="N123" s="13"/>
      <c r="O123" s="13"/>
      <c r="P123" s="13"/>
      <c r="Q123" s="13"/>
      <c r="R123" s="13"/>
    </row>
    <row r="124" customFormat="false" ht="15" hidden="false" customHeight="false" outlineLevel="0" collapsed="false">
      <c r="A124" s="30" t="n">
        <v>120</v>
      </c>
      <c r="B124" s="13"/>
      <c r="C124" s="13"/>
      <c r="D124" s="13" t="n">
        <v>15</v>
      </c>
      <c r="E124" s="40" t="str">
        <f aca="false">IFERROR(INDEX(Cores!$B$5:$B$21,MATCH(D124,Cores!$A$5:$A$21,0)),"")</f>
        <v>Ferrugem</v>
      </c>
      <c r="F124" s="13" t="s">
        <v>239</v>
      </c>
      <c r="G124" s="13" t="s">
        <v>238</v>
      </c>
      <c r="H124" s="13" t="s">
        <v>237</v>
      </c>
      <c r="I124" s="13"/>
      <c r="J124" s="13"/>
      <c r="K124" s="13"/>
      <c r="L124" s="13"/>
      <c r="M124" s="13"/>
      <c r="N124" s="13"/>
      <c r="O124" s="13"/>
      <c r="P124" s="13"/>
      <c r="Q124" s="13"/>
      <c r="R124" s="13"/>
    </row>
    <row r="125" customFormat="false" ht="15" hidden="false" customHeight="false" outlineLevel="0" collapsed="false">
      <c r="A125" s="30" t="n">
        <v>121</v>
      </c>
      <c r="B125" s="13"/>
      <c r="C125" s="13"/>
      <c r="D125" s="13" t="n">
        <v>16</v>
      </c>
      <c r="E125" s="40" t="str">
        <f aca="false">IFERROR(INDEX(Cores!$B$5:$B$21,MATCH(D125,Cores!$A$5:$A$21,0)),"")</f>
        <v>Azul flutuante</v>
      </c>
      <c r="F125" s="13" t="s">
        <v>229</v>
      </c>
      <c r="G125" s="13" t="s">
        <v>230</v>
      </c>
      <c r="H125" s="13" t="s">
        <v>231</v>
      </c>
      <c r="I125" s="13"/>
      <c r="J125" s="13"/>
      <c r="K125" s="13"/>
      <c r="L125" s="13"/>
      <c r="M125" s="13"/>
      <c r="N125" s="13"/>
      <c r="O125" s="13"/>
      <c r="P125" s="13"/>
      <c r="Q125" s="13"/>
      <c r="R125" s="13"/>
    </row>
    <row r="126" customFormat="false" ht="15" hidden="false" customHeight="false" outlineLevel="0" collapsed="false">
      <c r="A126" s="30" t="n">
        <v>122</v>
      </c>
      <c r="B126" s="13"/>
      <c r="C126" s="13"/>
      <c r="D126" s="13" t="n">
        <v>16</v>
      </c>
      <c r="E126" s="40" t="str">
        <f aca="false">IFERROR(INDEX(Cores!$B$5:$B$21,MATCH(D126,Cores!$A$5:$A$21,0)),"")</f>
        <v>Azul flutuante</v>
      </c>
      <c r="F126" s="13" t="s">
        <v>229</v>
      </c>
      <c r="G126" s="13" t="s">
        <v>230</v>
      </c>
      <c r="H126" s="13" t="s">
        <v>237</v>
      </c>
      <c r="I126" s="13"/>
      <c r="J126" s="13"/>
      <c r="K126" s="13"/>
      <c r="L126" s="13"/>
      <c r="M126" s="13"/>
      <c r="N126" s="13"/>
      <c r="O126" s="13"/>
      <c r="P126" s="13"/>
      <c r="Q126" s="13"/>
      <c r="R126" s="13"/>
    </row>
    <row r="127" customFormat="false" ht="15" hidden="false" customHeight="false" outlineLevel="0" collapsed="false">
      <c r="A127" s="30" t="n">
        <v>123</v>
      </c>
      <c r="B127" s="13"/>
      <c r="C127" s="13"/>
      <c r="D127" s="13" t="n">
        <v>16</v>
      </c>
      <c r="E127" s="40" t="str">
        <f aca="false">IFERROR(INDEX(Cores!$B$5:$B$21,MATCH(D127,Cores!$A$5:$A$21,0)),"")</f>
        <v>Azul flutuante</v>
      </c>
      <c r="F127" s="13" t="s">
        <v>229</v>
      </c>
      <c r="G127" s="13" t="s">
        <v>238</v>
      </c>
      <c r="H127" s="13" t="s">
        <v>231</v>
      </c>
      <c r="I127" s="13"/>
      <c r="J127" s="13"/>
      <c r="K127" s="13"/>
      <c r="L127" s="13"/>
      <c r="M127" s="13"/>
      <c r="N127" s="13"/>
      <c r="O127" s="13"/>
      <c r="P127" s="13"/>
      <c r="Q127" s="13"/>
      <c r="R127" s="13"/>
    </row>
    <row r="128" customFormat="false" ht="15" hidden="false" customHeight="false" outlineLevel="0" collapsed="false">
      <c r="A128" s="30" t="n">
        <v>124</v>
      </c>
      <c r="B128" s="13"/>
      <c r="C128" s="13"/>
      <c r="D128" s="13" t="n">
        <v>16</v>
      </c>
      <c r="E128" s="40" t="str">
        <f aca="false">IFERROR(INDEX(Cores!$B$5:$B$21,MATCH(D128,Cores!$A$5:$A$21,0)),"")</f>
        <v>Azul flutuante</v>
      </c>
      <c r="F128" s="13" t="s">
        <v>229</v>
      </c>
      <c r="G128" s="13" t="s">
        <v>238</v>
      </c>
      <c r="H128" s="13" t="s">
        <v>237</v>
      </c>
      <c r="I128" s="13"/>
      <c r="J128" s="13"/>
      <c r="K128" s="13"/>
      <c r="L128" s="13"/>
      <c r="M128" s="13"/>
      <c r="N128" s="13"/>
      <c r="O128" s="13"/>
      <c r="P128" s="13"/>
      <c r="Q128" s="13"/>
      <c r="R128" s="13"/>
    </row>
    <row r="129" customFormat="false" ht="15" hidden="false" customHeight="false" outlineLevel="0" collapsed="false">
      <c r="A129" s="30" t="n">
        <v>125</v>
      </c>
      <c r="B129" s="13"/>
      <c r="C129" s="13"/>
      <c r="D129" s="13" t="n">
        <v>16</v>
      </c>
      <c r="E129" s="40" t="str">
        <f aca="false">IFERROR(INDEX(Cores!$B$5:$B$21,MATCH(D129,Cores!$A$5:$A$21,0)),"")</f>
        <v>Azul flutuante</v>
      </c>
      <c r="F129" s="13" t="s">
        <v>239</v>
      </c>
      <c r="G129" s="13" t="s">
        <v>230</v>
      </c>
      <c r="H129" s="13" t="s">
        <v>231</v>
      </c>
      <c r="I129" s="13"/>
      <c r="J129" s="13"/>
      <c r="K129" s="13"/>
      <c r="L129" s="13"/>
      <c r="M129" s="13"/>
      <c r="N129" s="13"/>
      <c r="O129" s="13"/>
      <c r="P129" s="13"/>
      <c r="Q129" s="13"/>
      <c r="R129" s="13"/>
    </row>
    <row r="130" customFormat="false" ht="15" hidden="false" customHeight="false" outlineLevel="0" collapsed="false">
      <c r="A130" s="30" t="n">
        <v>126</v>
      </c>
      <c r="B130" s="13"/>
      <c r="C130" s="13"/>
      <c r="D130" s="13" t="n">
        <v>16</v>
      </c>
      <c r="E130" s="40" t="str">
        <f aca="false">IFERROR(INDEX(Cores!$B$5:$B$21,MATCH(D130,Cores!$A$5:$A$21,0)),"")</f>
        <v>Azul flutuante</v>
      </c>
      <c r="F130" s="13" t="s">
        <v>239</v>
      </c>
      <c r="G130" s="13" t="s">
        <v>230</v>
      </c>
      <c r="H130" s="13" t="s">
        <v>237</v>
      </c>
      <c r="I130" s="13"/>
      <c r="J130" s="13"/>
      <c r="K130" s="13"/>
      <c r="L130" s="13"/>
      <c r="M130" s="13"/>
      <c r="N130" s="13"/>
      <c r="O130" s="13"/>
      <c r="P130" s="13"/>
      <c r="Q130" s="13"/>
      <c r="R130" s="13"/>
    </row>
    <row r="131" customFormat="false" ht="15" hidden="false" customHeight="false" outlineLevel="0" collapsed="false">
      <c r="A131" s="30" t="n">
        <v>127</v>
      </c>
      <c r="B131" s="13"/>
      <c r="C131" s="13"/>
      <c r="D131" s="13" t="n">
        <v>16</v>
      </c>
      <c r="E131" s="40" t="str">
        <f aca="false">IFERROR(INDEX(Cores!$B$5:$B$21,MATCH(D131,Cores!$A$5:$A$21,0)),"")</f>
        <v>Azul flutuante</v>
      </c>
      <c r="F131" s="13" t="s">
        <v>239</v>
      </c>
      <c r="G131" s="13" t="s">
        <v>238</v>
      </c>
      <c r="H131" s="13" t="s">
        <v>231</v>
      </c>
      <c r="I131" s="13"/>
      <c r="J131" s="13"/>
      <c r="K131" s="13"/>
      <c r="L131" s="13"/>
      <c r="M131" s="13"/>
      <c r="N131" s="13"/>
      <c r="O131" s="13"/>
      <c r="P131" s="13"/>
      <c r="Q131" s="13"/>
      <c r="R131" s="13"/>
    </row>
    <row r="132" customFormat="false" ht="15" hidden="false" customHeight="false" outlineLevel="0" collapsed="false">
      <c r="A132" s="30" t="n">
        <v>128</v>
      </c>
      <c r="B132" s="13"/>
      <c r="C132" s="13"/>
      <c r="D132" s="13" t="n">
        <v>16</v>
      </c>
      <c r="E132" s="40" t="str">
        <f aca="false">IFERROR(INDEX(Cores!$B$5:$B$21,MATCH(D132,Cores!$A$5:$A$21,0)),"")</f>
        <v>Azul flutuante</v>
      </c>
      <c r="F132" s="13" t="s">
        <v>239</v>
      </c>
      <c r="G132" s="13" t="s">
        <v>238</v>
      </c>
      <c r="H132" s="13" t="s">
        <v>237</v>
      </c>
      <c r="I132" s="13"/>
      <c r="J132" s="13"/>
      <c r="K132" s="13"/>
      <c r="L132" s="13"/>
      <c r="M132" s="13"/>
      <c r="N132" s="13"/>
      <c r="O132" s="13"/>
      <c r="P132" s="13"/>
      <c r="Q132" s="13"/>
      <c r="R132" s="13"/>
    </row>
    <row r="133" customFormat="false" ht="15" hidden="false" customHeight="false" outlineLevel="0" collapsed="false">
      <c r="A133" s="30" t="n">
        <v>129</v>
      </c>
      <c r="B133" s="13"/>
      <c r="C133" s="13"/>
      <c r="D133" s="13" t="n">
        <v>17</v>
      </c>
      <c r="E133" s="40" t="str">
        <f aca="false">IFERROR(INDEX(Cores!$B$5:$B$21,MATCH(D133,Cores!$A$5:$A$21,0)),"")</f>
        <v>Imitação de cinza</v>
      </c>
      <c r="F133" s="13" t="s">
        <v>229</v>
      </c>
      <c r="G133" s="13" t="s">
        <v>230</v>
      </c>
      <c r="H133" s="13" t="s">
        <v>231</v>
      </c>
      <c r="I133" s="13"/>
      <c r="J133" s="13"/>
      <c r="K133" s="13"/>
      <c r="L133" s="13"/>
      <c r="M133" s="13"/>
      <c r="N133" s="13"/>
      <c r="O133" s="13"/>
      <c r="P133" s="13"/>
      <c r="Q133" s="13"/>
      <c r="R133" s="13"/>
    </row>
    <row r="134" customFormat="false" ht="15" hidden="false" customHeight="false" outlineLevel="0" collapsed="false">
      <c r="A134" s="30" t="n">
        <v>130</v>
      </c>
      <c r="B134" s="13"/>
      <c r="C134" s="13"/>
      <c r="D134" s="13" t="n">
        <v>17</v>
      </c>
      <c r="E134" s="40" t="str">
        <f aca="false">IFERROR(INDEX(Cores!$B$5:$B$21,MATCH(D134,Cores!$A$5:$A$21,0)),"")</f>
        <v>Imitação de cinza</v>
      </c>
      <c r="F134" s="13" t="s">
        <v>229</v>
      </c>
      <c r="G134" s="13" t="s">
        <v>230</v>
      </c>
      <c r="H134" s="13" t="s">
        <v>237</v>
      </c>
      <c r="I134" s="13"/>
      <c r="J134" s="13"/>
      <c r="K134" s="13"/>
      <c r="L134" s="13"/>
      <c r="M134" s="13"/>
      <c r="N134" s="13"/>
      <c r="O134" s="13"/>
      <c r="P134" s="13"/>
      <c r="Q134" s="13"/>
      <c r="R134" s="13"/>
    </row>
    <row r="135" customFormat="false" ht="15" hidden="false" customHeight="false" outlineLevel="0" collapsed="false">
      <c r="A135" s="30" t="n">
        <v>131</v>
      </c>
      <c r="B135" s="13"/>
      <c r="C135" s="13"/>
      <c r="D135" s="13" t="n">
        <v>17</v>
      </c>
      <c r="E135" s="40" t="str">
        <f aca="false">IFERROR(INDEX(Cores!$B$5:$B$21,MATCH(D135,Cores!$A$5:$A$21,0)),"")</f>
        <v>Imitação de cinza</v>
      </c>
      <c r="F135" s="13" t="s">
        <v>229</v>
      </c>
      <c r="G135" s="13" t="s">
        <v>238</v>
      </c>
      <c r="H135" s="13" t="s">
        <v>231</v>
      </c>
      <c r="I135" s="13"/>
      <c r="J135" s="13"/>
      <c r="K135" s="13"/>
      <c r="L135" s="13"/>
      <c r="M135" s="13"/>
      <c r="N135" s="13"/>
      <c r="O135" s="13"/>
      <c r="P135" s="13"/>
      <c r="Q135" s="13"/>
      <c r="R135" s="13"/>
    </row>
    <row r="136" customFormat="false" ht="15" hidden="false" customHeight="false" outlineLevel="0" collapsed="false">
      <c r="A136" s="30" t="n">
        <v>132</v>
      </c>
      <c r="B136" s="13"/>
      <c r="C136" s="13"/>
      <c r="D136" s="13" t="n">
        <v>17</v>
      </c>
      <c r="E136" s="40" t="str">
        <f aca="false">IFERROR(INDEX(Cores!$B$5:$B$21,MATCH(D136,Cores!$A$5:$A$21,0)),"")</f>
        <v>Imitação de cinza</v>
      </c>
      <c r="F136" s="13" t="s">
        <v>229</v>
      </c>
      <c r="G136" s="13" t="s">
        <v>238</v>
      </c>
      <c r="H136" s="13" t="s">
        <v>237</v>
      </c>
      <c r="I136" s="13"/>
      <c r="J136" s="13"/>
      <c r="K136" s="13"/>
      <c r="L136" s="13"/>
      <c r="M136" s="13"/>
      <c r="N136" s="13"/>
      <c r="O136" s="13"/>
      <c r="P136" s="13"/>
      <c r="Q136" s="13"/>
      <c r="R136" s="13"/>
    </row>
    <row r="137" customFormat="false" ht="15" hidden="false" customHeight="false" outlineLevel="0" collapsed="false">
      <c r="A137" s="30" t="n">
        <v>133</v>
      </c>
      <c r="B137" s="13"/>
      <c r="C137" s="13"/>
      <c r="D137" s="13" t="n">
        <v>17</v>
      </c>
      <c r="E137" s="40" t="str">
        <f aca="false">IFERROR(INDEX(Cores!$B$5:$B$21,MATCH(D137,Cores!$A$5:$A$21,0)),"")</f>
        <v>Imitação de cinza</v>
      </c>
      <c r="F137" s="13" t="s">
        <v>239</v>
      </c>
      <c r="G137" s="13" t="s">
        <v>230</v>
      </c>
      <c r="H137" s="13" t="s">
        <v>231</v>
      </c>
      <c r="I137" s="13"/>
      <c r="J137" s="13"/>
      <c r="K137" s="13"/>
      <c r="L137" s="13"/>
      <c r="M137" s="13"/>
      <c r="N137" s="13"/>
      <c r="O137" s="13"/>
      <c r="P137" s="13"/>
      <c r="Q137" s="13"/>
      <c r="R137" s="13"/>
    </row>
    <row r="138" customFormat="false" ht="15" hidden="false" customHeight="false" outlineLevel="0" collapsed="false">
      <c r="A138" s="30" t="n">
        <v>134</v>
      </c>
      <c r="B138" s="13"/>
      <c r="C138" s="13"/>
      <c r="D138" s="13" t="n">
        <v>17</v>
      </c>
      <c r="E138" s="40" t="str">
        <f aca="false">IFERROR(INDEX(Cores!$B$5:$B$21,MATCH(D138,Cores!$A$5:$A$21,0)),"")</f>
        <v>Imitação de cinza</v>
      </c>
      <c r="F138" s="13" t="s">
        <v>239</v>
      </c>
      <c r="G138" s="13" t="s">
        <v>230</v>
      </c>
      <c r="H138" s="13" t="s">
        <v>237</v>
      </c>
      <c r="I138" s="13"/>
      <c r="J138" s="13"/>
      <c r="K138" s="13"/>
      <c r="L138" s="13"/>
      <c r="M138" s="13"/>
      <c r="N138" s="13"/>
      <c r="O138" s="13"/>
      <c r="P138" s="13"/>
      <c r="Q138" s="13"/>
      <c r="R138" s="13"/>
    </row>
    <row r="139" customFormat="false" ht="15" hidden="false" customHeight="false" outlineLevel="0" collapsed="false">
      <c r="A139" s="30" t="n">
        <v>135</v>
      </c>
      <c r="B139" s="13"/>
      <c r="C139" s="13"/>
      <c r="D139" s="13" t="n">
        <v>17</v>
      </c>
      <c r="E139" s="40" t="str">
        <f aca="false">IFERROR(INDEX(Cores!$B$5:$B$21,MATCH(D139,Cores!$A$5:$A$21,0)),"")</f>
        <v>Imitação de cinza</v>
      </c>
      <c r="F139" s="13" t="s">
        <v>239</v>
      </c>
      <c r="G139" s="13" t="s">
        <v>238</v>
      </c>
      <c r="H139" s="13" t="s">
        <v>231</v>
      </c>
      <c r="I139" s="13"/>
      <c r="J139" s="13"/>
      <c r="K139" s="13"/>
      <c r="L139" s="13"/>
      <c r="M139" s="13"/>
      <c r="N139" s="13"/>
      <c r="O139" s="13"/>
      <c r="P139" s="13"/>
      <c r="Q139" s="13"/>
      <c r="R139" s="13"/>
    </row>
    <row r="140" customFormat="false" ht="15" hidden="false" customHeight="false" outlineLevel="0" collapsed="false">
      <c r="A140" s="30" t="n">
        <v>136</v>
      </c>
      <c r="B140" s="13"/>
      <c r="C140" s="13"/>
      <c r="D140" s="13" t="n">
        <v>17</v>
      </c>
      <c r="E140" s="40" t="str">
        <f aca="false">IFERROR(INDEX(Cores!$B$5:$B$21,MATCH(D140,Cores!$A$5:$A$21,0)),"")</f>
        <v>Imitação de cinza</v>
      </c>
      <c r="F140" s="13" t="s">
        <v>239</v>
      </c>
      <c r="G140" s="13" t="s">
        <v>238</v>
      </c>
      <c r="H140" s="13" t="s">
        <v>237</v>
      </c>
      <c r="I140" s="13"/>
      <c r="J140" s="13"/>
      <c r="K140" s="13"/>
      <c r="L140" s="13"/>
      <c r="M140" s="13"/>
      <c r="N140" s="13"/>
      <c r="O140" s="13"/>
      <c r="P140" s="13"/>
      <c r="Q140" s="13"/>
      <c r="R140" s="13"/>
    </row>
  </sheetData>
  <autoFilter ref="A4:R140"/>
  <dataValidations count="3">
    <dataValidation allowBlank="true" errorStyle="stop" operator="between" showDropDown="false" showErrorMessage="false" showInputMessage="false" sqref="I5:I140" type="list">
      <formula1>"Sim,Não,—"</formula1>
      <formula2>0</formula2>
    </dataValidation>
    <dataValidation allowBlank="true" errorStyle="stop" operator="between" showDropDown="false" showErrorMessage="false" showInputMessage="false" sqref="L5:O140" type="list">
      <formula1>"Nenhum,Leve,Forte"</formula1>
      <formula2>0</formula2>
    </dataValidation>
    <dataValidation allowBlank="true" errorStyle="stop" operator="between" showDropDown="false" showErrorMessage="false" showInputMessage="false" sqref="P5:P140" type="list">
      <formula1>"Pendente,Aprovado,Reprovado,N/A"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240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241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12" t="s">
        <v>217</v>
      </c>
      <c r="B4" s="12" t="s">
        <v>242</v>
      </c>
      <c r="C4" s="12" t="s">
        <v>243</v>
      </c>
      <c r="D4" s="12" t="s">
        <v>244</v>
      </c>
      <c r="E4" s="12" t="s">
        <v>245</v>
      </c>
      <c r="F4" s="12" t="s">
        <v>246</v>
      </c>
      <c r="G4" s="12" t="s">
        <v>247</v>
      </c>
    </row>
    <row r="5" customFormat="false" ht="15" hidden="false" customHeight="false" outlineLevel="0" collapsed="false">
      <c r="A5" s="48" t="s">
        <v>231</v>
      </c>
      <c r="B5" s="48" t="s">
        <v>248</v>
      </c>
      <c r="C5" s="13" t="n">
        <v>100</v>
      </c>
      <c r="D5" s="13" t="n">
        <v>25</v>
      </c>
      <c r="E5" s="13" t="n">
        <v>600</v>
      </c>
      <c r="F5" s="13" t="n">
        <v>0</v>
      </c>
      <c r="G5" s="49" t="n">
        <f aca="false">IF(ISNUMBER(C5),ABS(E5-D5)/C5,0)+F5/60</f>
        <v>5.75</v>
      </c>
    </row>
    <row r="6" customFormat="false" ht="15" hidden="false" customHeight="false" outlineLevel="0" collapsed="false">
      <c r="A6" s="48" t="s">
        <v>231</v>
      </c>
      <c r="B6" s="48" t="s">
        <v>249</v>
      </c>
      <c r="C6" s="13" t="n">
        <v>150</v>
      </c>
      <c r="D6" s="13" t="n">
        <v>600</v>
      </c>
      <c r="E6" s="13" t="n">
        <v>1100</v>
      </c>
      <c r="F6" s="13" t="n">
        <v>0</v>
      </c>
      <c r="G6" s="49" t="n">
        <f aca="false">IF(ISNUMBER(C6),ABS(E6-D6)/C6,0)+F6/60</f>
        <v>3.33333333333333</v>
      </c>
    </row>
    <row r="7" customFormat="false" ht="15" hidden="false" customHeight="false" outlineLevel="0" collapsed="false">
      <c r="A7" s="48" t="s">
        <v>231</v>
      </c>
      <c r="B7" s="48" t="s">
        <v>250</v>
      </c>
      <c r="C7" s="13" t="n">
        <v>60</v>
      </c>
      <c r="D7" s="13" t="n">
        <v>1100</v>
      </c>
      <c r="E7" s="13" t="n">
        <v>1225</v>
      </c>
      <c r="F7" s="13" t="n">
        <v>15</v>
      </c>
      <c r="G7" s="49" t="n">
        <f aca="false">IF(ISNUMBER(C7),ABS(E7-D7)/C7,0)+F7/60</f>
        <v>2.33333333333333</v>
      </c>
    </row>
    <row r="8" customFormat="false" ht="15" hidden="false" customHeight="false" outlineLevel="0" collapsed="false">
      <c r="A8" s="48" t="s">
        <v>237</v>
      </c>
      <c r="B8" s="48" t="s">
        <v>248</v>
      </c>
      <c r="C8" s="13" t="n">
        <v>100</v>
      </c>
      <c r="D8" s="13" t="n">
        <v>25</v>
      </c>
      <c r="E8" s="13" t="n">
        <v>600</v>
      </c>
      <c r="F8" s="13" t="n">
        <v>0</v>
      </c>
      <c r="G8" s="49" t="n">
        <f aca="false">IF(ISNUMBER(C8),ABS(E8-D8)/C8,0)+F8/60</f>
        <v>5.75</v>
      </c>
    </row>
    <row r="9" customFormat="false" ht="15" hidden="false" customHeight="false" outlineLevel="0" collapsed="false">
      <c r="A9" s="48" t="s">
        <v>237</v>
      </c>
      <c r="B9" s="48" t="s">
        <v>249</v>
      </c>
      <c r="C9" s="13" t="n">
        <v>150</v>
      </c>
      <c r="D9" s="13" t="n">
        <v>600</v>
      </c>
      <c r="E9" s="13" t="n">
        <v>1100</v>
      </c>
      <c r="F9" s="13" t="n">
        <v>0</v>
      </c>
      <c r="G9" s="49" t="n">
        <f aca="false">IF(ISNUMBER(C9),ABS(E9-D9)/C9,0)+F9/60</f>
        <v>3.33333333333333</v>
      </c>
    </row>
    <row r="10" customFormat="false" ht="15" hidden="false" customHeight="false" outlineLevel="0" collapsed="false">
      <c r="A10" s="48" t="s">
        <v>237</v>
      </c>
      <c r="B10" s="48" t="s">
        <v>250</v>
      </c>
      <c r="C10" s="13" t="n">
        <v>60</v>
      </c>
      <c r="D10" s="13" t="n">
        <v>1100</v>
      </c>
      <c r="E10" s="13" t="n">
        <v>1225</v>
      </c>
      <c r="F10" s="13" t="n">
        <v>15</v>
      </c>
      <c r="G10" s="49" t="n">
        <f aca="false">IF(ISNUMBER(C10),ABS(E10-D10)/C10,0)+F10/60</f>
        <v>2.33333333333333</v>
      </c>
    </row>
    <row r="11" customFormat="false" ht="15" hidden="false" customHeight="false" outlineLevel="0" collapsed="false">
      <c r="A11" s="48" t="s">
        <v>237</v>
      </c>
      <c r="B11" s="48" t="s">
        <v>251</v>
      </c>
      <c r="C11" s="13" t="s">
        <v>252</v>
      </c>
      <c r="D11" s="13" t="n">
        <v>1225</v>
      </c>
      <c r="E11" s="13" t="n">
        <v>1100</v>
      </c>
      <c r="F11" s="13" t="n">
        <v>0</v>
      </c>
      <c r="G11" s="49" t="n">
        <f aca="false">IF(ISNUMBER(C11),ABS(E11-D11)/C11,0)+F11/60</f>
        <v>0</v>
      </c>
    </row>
    <row r="12" customFormat="false" ht="15" hidden="false" customHeight="false" outlineLevel="0" collapsed="false">
      <c r="A12" s="48" t="s">
        <v>237</v>
      </c>
      <c r="B12" s="48" t="s">
        <v>253</v>
      </c>
      <c r="C12" s="13" t="n">
        <v>80</v>
      </c>
      <c r="D12" s="13" t="n">
        <v>1100</v>
      </c>
      <c r="E12" s="13" t="n">
        <v>800</v>
      </c>
      <c r="F12" s="13" t="n">
        <v>0</v>
      </c>
      <c r="G12" s="49" t="n">
        <f aca="false">IF(ISNUMBER(C12),ABS(E12-D12)/C12,0)+F12/60</f>
        <v>3.75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</row>
    <row r="14" customFormat="false" ht="15" hidden="false" customHeight="false" outlineLevel="0" collapsed="false">
      <c r="A14" s="5" t="s">
        <v>254</v>
      </c>
      <c r="B14" s="2"/>
      <c r="C14" s="2"/>
      <c r="D14" s="2"/>
      <c r="E14" s="2"/>
      <c r="F14" s="2"/>
      <c r="G14" s="21" t="n">
        <f aca="false">SUM(G5:G7)</f>
        <v>11.4166666666667</v>
      </c>
    </row>
    <row r="15" customFormat="false" ht="15" hidden="false" customHeight="false" outlineLevel="0" collapsed="false">
      <c r="A15" s="5" t="s">
        <v>255</v>
      </c>
      <c r="B15" s="2"/>
      <c r="C15" s="2"/>
      <c r="D15" s="2"/>
      <c r="E15" s="2"/>
      <c r="F15" s="2"/>
      <c r="G15" s="21" t="n">
        <f aca="false">SUM(G8:G12)</f>
        <v>15.1666666666667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</row>
    <row r="17" customFormat="false" ht="15" hidden="false" customHeight="false" outlineLevel="0" collapsed="false">
      <c r="A17" s="3" t="s">
        <v>256</v>
      </c>
      <c r="B17" s="2"/>
      <c r="C17" s="2"/>
      <c r="D17" s="2"/>
      <c r="E17" s="2"/>
      <c r="F17" s="2"/>
      <c r="G1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2026-10-14T11:41:19Z</dcterms:created>
  <dc:creator>openpyxl</dc:creator>
  <dc:description/>
  <dc:language>en-US</dc:language>
  <cp:lastModifiedBy/>
  <dcterms:modified xsi:type="dcterms:W3CDTF">2026-10-14T11:41:20Z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