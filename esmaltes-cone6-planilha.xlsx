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Matérias-Primas" sheetId="2" state="visible" r:id="rId4"/>
    <sheet name="Base A" sheetId="3" state="visible" r:id="rId5"/>
    <sheet name="Base B" sheetId="4" state="visible" r:id="rId6"/>
    <sheet name="Base C" sheetId="5" state="visible" r:id="rId7"/>
    <sheet name="Base D" sheetId="6" state="visible" r:id="rId8"/>
    <sheet name="Base E" sheetId="7" state="visible" r:id="rId9"/>
    <sheet name="Cores" sheetId="8" state="visible" r:id="rId10"/>
    <sheet name="Pincel" sheetId="9" state="visible" r:id="rId11"/>
    <sheet name="Custos e Preço" sheetId="10" state="visible" r:id="rId12"/>
    <sheet name="Testes" sheetId="11" state="visible" r:id="rId13"/>
    <sheet name="Estabilidade" sheetId="12" state="visible" r:id="rId14"/>
    <sheet name="Curva de Queima" sheetId="13" state="visible" r:id="rId15"/>
  </sheets>
  <definedNames>
    <definedName function="false" hidden="true" localSheetId="10" name="_xlnm._FilterDatabase" vbProcedure="false">Testes!$A$4:$S$140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<sst xmlns="http://schemas.openxmlformats.org/spreadsheetml/2006/main" count="1050" uniqueCount="342">
  <si>
    <t xml:space="preserve">Esmaltes Cone 6 — Planilha de formulação, custos e testes</t>
  </si>
  <si>
    <t xml:space="preserve">Linha inicial de 17 cores · oxidação · 1220–1240 °C · Fase 1 pincel → Fase 2 pó para mergulho</t>
  </si>
  <si>
    <t xml:space="preserve">Como usar</t>
  </si>
  <si>
    <t xml:space="preserve">1. Matérias-Primas</t>
  </si>
  <si>
    <t xml:space="preserve">Substitua as análises químicas (%) e os preços pelos dados dos SEUS fornecedores. Os valores atuais são teóricos/típicos e os preços são estimativas ilustrativas.</t>
  </si>
  <si>
    <t xml:space="preserve">2. Base A … Base E</t>
  </si>
  <si>
    <t xml:space="preserve">Cada aba é uma base. Edite materiais e quantidades (azul). A UMF é calculada sozinha e comparada com as faixas-alvo (verde = dentro, vermelho = ajustar).</t>
  </si>
  <si>
    <t xml:space="preserve">3. Cores</t>
  </si>
  <si>
    <t xml:space="preserve">As 17 cores: base + colorantes (% sobre 100 da base). Custo de matéria-prima por kg calculado automaticamente.</t>
  </si>
  <si>
    <t xml:space="preserve">4. Pincel</t>
  </si>
  <si>
    <t xml:space="preserve">FASE 1: receita do líquido para pincel — densidade-alvo e aditivos (CMC, bentonita, glicerina, defloculante, conservante) com custo.</t>
  </si>
  <si>
    <t xml:space="preserve">5. Custos e Preço</t>
  </si>
  <si>
    <t xml:space="preserve">Fase 1 (potes para pincel) e Fase 2 (pó 500 g / 1 kg). Premissas em amarelo → preço mínimo e margem real com o preço praticado.</t>
  </si>
  <si>
    <t xml:space="preserve">6. Testes</t>
  </si>
  <si>
    <t xml:space="preserve">Matriz de 136 placas (17 cores × 2 argilas × 2 e 3 demãos × 2 curvas). A 1ª linha é um exemplo.</t>
  </si>
  <si>
    <t xml:space="preserve">7. Estabilidade</t>
  </si>
  <si>
    <t xml:space="preserve">Validade do líquido no pote: sedimento, mofo e densidade aos 7, 30 e 90 dias.</t>
  </si>
  <si>
    <t xml:space="preserve">8. Curva de Queima</t>
  </si>
  <si>
    <t xml:space="preserve">Curva padrão e curva com resfriamento lento para indicar no rótulo.</t>
  </si>
  <si>
    <t xml:space="preserve">Legenda de cores</t>
  </si>
  <si>
    <t xml:space="preserve">Texto azul</t>
  </si>
  <si>
    <t xml:space="preserve">Dado de entrada que você pode editar</t>
  </si>
  <si>
    <t xml:space="preserve">Texto preto</t>
  </si>
  <si>
    <t xml:space="preserve">Fórmula — não editar</t>
  </si>
  <si>
    <t xml:space="preserve">Texto verde</t>
  </si>
  <si>
    <t xml:space="preserve">Vínculo com outra aba</t>
  </si>
  <si>
    <t xml:space="preserve">Fundo amarelo</t>
  </si>
  <si>
    <t xml:space="preserve">Premissa-chave para revisar</t>
  </si>
  <si>
    <t xml:space="preserve">Avisos importantes</t>
  </si>
  <si>
    <t xml:space="preserve">Receitas</t>
  </si>
  <si>
    <t xml:space="preserve">As receitas e % de colorantes são PONTOS DE PARTIDA para teste, não fórmulas prontas para venda. Valide tudo em placas de teste.</t>
  </si>
  <si>
    <t xml:space="preserve">Segurança alimentar</t>
  </si>
  <si>
    <t xml:space="preserve">Só rotule como "própria para alimentos" após ensaio de lixiviação (Pb/Cd e metais como Cu, Co) em laboratório acreditado (ref. ISO 6486).</t>
  </si>
  <si>
    <t xml:space="preserve">Saúde</t>
  </si>
  <si>
    <t xml:space="preserve">Sílica, cobalto, cobre e pigmentos: use exaustão e máscara PFF2/P3 ao pesar e misturar pós.</t>
  </si>
  <si>
    <t xml:space="preserve">Estratégia</t>
  </si>
  <si>
    <t xml:space="preserve">Fase 1 = líquido para pincel (produto pronto, maior valor por grama). Fase 2 = mesmo esmalte em pó para o ceramista preparar banho. As bases e cores são as mesmas nas duas fases.</t>
  </si>
  <si>
    <t xml:space="preserve">Matérias-primas e colorantes</t>
  </si>
  <si>
    <t xml:space="preserve">Análise química em % (base queimada = sem PPC). Substitua pelos laudos dos fornecedores.</t>
  </si>
  <si>
    <t xml:space="preserve">Massa molar →</t>
  </si>
  <si>
    <t xml:space="preserve">Material</t>
  </si>
  <si>
    <t xml:space="preserve">Tipo</t>
  </si>
  <si>
    <t xml:space="preserve">Fornecedor</t>
  </si>
  <si>
    <t xml:space="preserve">Preço (R$/kg)</t>
  </si>
  <si>
    <t xml:space="preserve">PPC (%)</t>
  </si>
  <si>
    <t xml:space="preserve">SiO2 (%)</t>
  </si>
  <si>
    <t xml:space="preserve">Al2O3 (%)</t>
  </si>
  <si>
    <t xml:space="preserve">B2O3 (%)</t>
  </si>
  <si>
    <t xml:space="preserve">Na2O (%)</t>
  </si>
  <si>
    <t xml:space="preserve">K2O (%)</t>
  </si>
  <si>
    <t xml:space="preserve">Li2O (%)</t>
  </si>
  <si>
    <t xml:space="preserve">CaO (%)</t>
  </si>
  <si>
    <t xml:space="preserve">MgO (%)</t>
  </si>
  <si>
    <t xml:space="preserve">SrO (%)</t>
  </si>
  <si>
    <t xml:space="preserve">ZnO (%)</t>
  </si>
  <si>
    <t xml:space="preserve">ZrO2 (%)</t>
  </si>
  <si>
    <t xml:space="preserve">Fe2O3 (%)</t>
  </si>
  <si>
    <t xml:space="preserve">TiO2 (%)</t>
  </si>
  <si>
    <t xml:space="preserve">Fonte / observação</t>
  </si>
  <si>
    <t xml:space="preserve">Feldspato potássico</t>
  </si>
  <si>
    <t xml:space="preserve">Base</t>
  </si>
  <si>
    <t xml:space="preserve">Valor típico de feldspato potássico nacional</t>
  </si>
  <si>
    <t xml:space="preserve">Caulim</t>
  </si>
  <si>
    <t xml:space="preserve">Caulinita teórica</t>
  </si>
  <si>
    <t xml:space="preserve">Quartzo (sílica 325#)</t>
  </si>
  <si>
    <t xml:space="preserve">Teórico</t>
  </si>
  <si>
    <t xml:space="preserve">Wollastonita</t>
  </si>
  <si>
    <t xml:space="preserve">Carbonato de cálcio</t>
  </si>
  <si>
    <t xml:space="preserve">Dolomita</t>
  </si>
  <si>
    <t xml:space="preserve">Talco</t>
  </si>
  <si>
    <t xml:space="preserve">Carbonato de estrôncio</t>
  </si>
  <si>
    <t xml:space="preserve">Óxido de zinco</t>
  </si>
  <si>
    <t xml:space="preserve">Frita borácica</t>
  </si>
  <si>
    <t xml:space="preserve">Aproximação tipo Ferro 3134 — trocar pela ficha da frita nacional</t>
  </si>
  <si>
    <t xml:space="preserve">Carbonato de lítio</t>
  </si>
  <si>
    <t xml:space="preserve">Silicato de zircônio</t>
  </si>
  <si>
    <t xml:space="preserve">Colorante</t>
  </si>
  <si>
    <t xml:space="preserve">Opacificante — teórico</t>
  </si>
  <si>
    <t xml:space="preserve">Óxido de ferro vermelho</t>
  </si>
  <si>
    <t xml:space="preserve">Carbonato de cobalto</t>
  </si>
  <si>
    <t xml:space="preserve">Colorante — ~63% CoO</t>
  </si>
  <si>
    <t xml:space="preserve">Carbonato de cobre</t>
  </si>
  <si>
    <t xml:space="preserve">Colorante — ~72% CuO</t>
  </si>
  <si>
    <t xml:space="preserve">Rutilo</t>
  </si>
  <si>
    <t xml:space="preserve">Colorante/variegação — típico</t>
  </si>
  <si>
    <t xml:space="preserve">Ilmenita granular</t>
  </si>
  <si>
    <t xml:space="preserve">Pintas — FeTiO3</t>
  </si>
  <si>
    <t xml:space="preserve">Pigmento preto</t>
  </si>
  <si>
    <t xml:space="preserve">Pigmento encapsulado</t>
  </si>
  <si>
    <t xml:space="preserve">Pigmento amarelo Zr-Pr</t>
  </si>
  <si>
    <t xml:space="preserve">Pigmento zircônio-praseodímio</t>
  </si>
  <si>
    <t xml:space="preserve">Pigmento rosa Cr-Sn</t>
  </si>
  <si>
    <t xml:space="preserve">Exige base cálcica, sem zinco</t>
  </si>
  <si>
    <t xml:space="preserve">Goma CMC</t>
  </si>
  <si>
    <t xml:space="preserve">Aditivo</t>
  </si>
  <si>
    <t xml:space="preserve">Aditivo pincel — ligante</t>
  </si>
  <si>
    <t xml:space="preserve">Bentonita</t>
  </si>
  <si>
    <t xml:space="preserve">Aditivo — suspensão</t>
  </si>
  <si>
    <t xml:space="preserve">Glicerina</t>
  </si>
  <si>
    <t xml:space="preserve">Aditivo pincel — retarda secagem</t>
  </si>
  <si>
    <t xml:space="preserve">Silicato de sódio</t>
  </si>
  <si>
    <t xml:space="preserve">Aditivo — defloculante</t>
  </si>
  <si>
    <t xml:space="preserve">Conservante (isotiazolinona)</t>
  </si>
  <si>
    <t xml:space="preserve">Aditivo pincel — biocida</t>
  </si>
  <si>
    <t xml:space="preserve">Linhas livres abaixo para novos materiais (mantenha o mesmo formato). Preços: estimativas ilustrativas de 2026 — substitua por cotações reais.</t>
  </si>
  <si>
    <t xml:space="preserve">Base A — Brilhante transparente</t>
  </si>
  <si>
    <t xml:space="preserve">Ponto de partida: base "20x5" adaptada a materiais nacionais.</t>
  </si>
  <si>
    <t xml:space="preserve">Contribuição em massa de cada óxido (g por 100 g de esmalte queimado não normalizado) →</t>
  </si>
  <si>
    <t xml:space="preserve">Quantidade (g)</t>
  </si>
  <si>
    <t xml:space="preserve">% normalizado</t>
  </si>
  <si>
    <t xml:space="preserve">SiO2</t>
  </si>
  <si>
    <t xml:space="preserve">Al2O3</t>
  </si>
  <si>
    <t xml:space="preserve">B2O3</t>
  </si>
  <si>
    <t xml:space="preserve">Na2O</t>
  </si>
  <si>
    <t xml:space="preserve">K2O</t>
  </si>
  <si>
    <t xml:space="preserve">Li2O</t>
  </si>
  <si>
    <t xml:space="preserve">CaO</t>
  </si>
  <si>
    <t xml:space="preserve">MgO</t>
  </si>
  <si>
    <t xml:space="preserve">SrO</t>
  </si>
  <si>
    <t xml:space="preserve">ZnO</t>
  </si>
  <si>
    <t xml:space="preserve">ZrO2</t>
  </si>
  <si>
    <t xml:space="preserve">Fe2O3</t>
  </si>
  <si>
    <t xml:space="preserve">TiO2</t>
  </si>
  <si>
    <t xml:space="preserve">Total</t>
  </si>
  <si>
    <t xml:space="preserve">Massa molar</t>
  </si>
  <si>
    <t xml:space="preserve">Mols</t>
  </si>
  <si>
    <t xml:space="preserve">Soma fundentes:</t>
  </si>
  <si>
    <t xml:space="preserve">UMF (fundentes = 1)</t>
  </si>
  <si>
    <t xml:space="preserve">Checagem contra faixas-alvo</t>
  </si>
  <si>
    <t xml:space="preserve">Indicador</t>
  </si>
  <si>
    <t xml:space="preserve">Valor</t>
  </si>
  <si>
    <t xml:space="preserve">Mín</t>
  </si>
  <si>
    <t xml:space="preserve">Máx</t>
  </si>
  <si>
    <t xml:space="preserve">Status</t>
  </si>
  <si>
    <t xml:space="preserve">SiO₂ (UMF)</t>
  </si>
  <si>
    <t xml:space="preserve">Al₂O₃ (UMF)</t>
  </si>
  <si>
    <t xml:space="preserve">B₂O₃ (UMF)</t>
  </si>
  <si>
    <t xml:space="preserve">Razão SiO₂:Al₂O₃</t>
  </si>
  <si>
    <t xml:space="preserve">Custo matéria-prima da base (R$/kg)</t>
  </si>
  <si>
    <t xml:space="preserve">Faixas-alvo são referências de literatura para cone 6 estável; ajuste-as conforme seus testes. Fórmula-alvo calculada sobre óxidos; colorantes entram na aba Cores.</t>
  </si>
  <si>
    <t xml:space="preserve">Base B — Mate/acetinada cálcica (sem zinco)</t>
  </si>
  <si>
    <t xml:space="preserve">Mate por alumina alta + cálcio. Sem zinco para permitir o rosa cromo-estanho.</t>
  </si>
  <si>
    <t xml:space="preserve">Base C — Brilhante de estrôncio (para branco opaco e turquesa)</t>
  </si>
  <si>
    <t xml:space="preserve">Estrôncio no lugar de bário: favorece turquesa com cobre.</t>
  </si>
  <si>
    <t xml:space="preserve">Base D — Reativa fluida (rutilo / azul flutuante)</t>
  </si>
  <si>
    <t xml:space="preserve">Mais boro, mais fluida. Melhor com resfriamento lento. Atenção ao escorrimento.</t>
  </si>
  <si>
    <t xml:space="preserve">Base E — Para óxido de ferro (tenmoku / ferrugem)</t>
  </si>
  <si>
    <t xml:space="preserve">Recebe 6–12% de Fe2O3.</t>
  </si>
  <si>
    <t xml:space="preserve">Linha de 17 cores — cone 6 oxidação</t>
  </si>
  <si>
    <t xml:space="preserve">Colorantes em % adicionados sobre 100% da base seca. Valores = ponto de partida para teste.</t>
  </si>
  <si>
    <t xml:space="preserve">Nº</t>
  </si>
  <si>
    <t xml:space="preserve">Nome</t>
  </si>
  <si>
    <t xml:space="preserve">Colorante 1</t>
  </si>
  <si>
    <t xml:space="preserve">% 1</t>
  </si>
  <si>
    <t xml:space="preserve">Colorante 2</t>
  </si>
  <si>
    <t xml:space="preserve">% 2</t>
  </si>
  <si>
    <t xml:space="preserve">Colorante 3</t>
  </si>
  <si>
    <t xml:space="preserve">% 3</t>
  </si>
  <si>
    <t xml:space="preserve">Resfr. lento?</t>
  </si>
  <si>
    <t xml:space="preserve">Alimentos?</t>
  </si>
  <si>
    <t xml:space="preserve">Custo base (R$/kg)</t>
  </si>
  <si>
    <t xml:space="preserve">Custo colorantes (R$ por 100 g base)</t>
  </si>
  <si>
    <t xml:space="preserve">Custo MP (R$/kg esmalte)</t>
  </si>
  <si>
    <t xml:space="preserve">Observações</t>
  </si>
  <si>
    <t xml:space="preserve">Transparente brilhante</t>
  </si>
  <si>
    <t xml:space="preserve">A</t>
  </si>
  <si>
    <t xml:space="preserve">Não necessário</t>
  </si>
  <si>
    <t xml:space="preserve">Pendente lixiviação</t>
  </si>
  <si>
    <t xml:space="preserve">Base de referência</t>
  </si>
  <si>
    <t xml:space="preserve">Transparente mate</t>
  </si>
  <si>
    <t xml:space="preserve">B</t>
  </si>
  <si>
    <t xml:space="preserve">Recomendado</t>
  </si>
  <si>
    <t xml:space="preserve">Mate cálcico</t>
  </si>
  <si>
    <t xml:space="preserve">Branco brilhante</t>
  </si>
  <si>
    <t xml:space="preserve">C</t>
  </si>
  <si>
    <t xml:space="preserve">Branco acetinado</t>
  </si>
  <si>
    <t xml:space="preserve">Preto brilhante</t>
  </si>
  <si>
    <t xml:space="preserve">Alternativa: Fe + Co + Mn</t>
  </si>
  <si>
    <t xml:space="preserve">Tenmoku</t>
  </si>
  <si>
    <t xml:space="preserve">E</t>
  </si>
  <si>
    <t xml:space="preserve">Quebra marrom nas bordas</t>
  </si>
  <si>
    <t xml:space="preserve">Celadon verde</t>
  </si>
  <si>
    <t xml:space="preserve">Em oxidação fica verde-amarelado; teste 1–2%</t>
  </si>
  <si>
    <t xml:space="preserve">Celadon azul</t>
  </si>
  <si>
    <t xml:space="preserve">Rutilo mel</t>
  </si>
  <si>
    <t xml:space="preserve">D</t>
  </si>
  <si>
    <t xml:space="preserve">Sim</t>
  </si>
  <si>
    <t xml:space="preserve">Variegação depende da espessura</t>
  </si>
  <si>
    <t xml:space="preserve">Creme pintalgado</t>
  </si>
  <si>
    <t xml:space="preserve">Substitui o shino (que exige redução)</t>
  </si>
  <si>
    <t xml:space="preserve">Azul cobalto</t>
  </si>
  <si>
    <t xml:space="preserve">Turquesa</t>
  </si>
  <si>
    <t xml:space="preserve">Cobre: maior risco de lixiviação — testar antes de vender para louça</t>
  </si>
  <si>
    <t xml:space="preserve">Amarelo</t>
  </si>
  <si>
    <t xml:space="preserve">Rosa coral</t>
  </si>
  <si>
    <t xml:space="preserve">Base precisa de cálcio e ZERO zinco</t>
  </si>
  <si>
    <t xml:space="preserve">Ferrugem</t>
  </si>
  <si>
    <t xml:space="preserve">Superfície saturada de ferro</t>
  </si>
  <si>
    <t xml:space="preserve">Azul flutuante</t>
  </si>
  <si>
    <t xml:space="preserve">Floating blue; escorre se grosso</t>
  </si>
  <si>
    <t xml:space="preserve">Imitação de cinza</t>
  </si>
  <si>
    <t xml:space="preserve">Efeito ash sem cinza real</t>
  </si>
  <si>
    <t xml:space="preserve">Custo colorantes = Σ (% colorante/100 × preço R$/kg), em R$ por kg de base. Custo MP por kg de esmalte = (custo base + custo colorantes) ÷ (1 + Σ%/100).</t>
  </si>
  <si>
    <t xml:space="preserve">Fase 1 — Esmalte líquido para pincel</t>
  </si>
  <si>
    <t xml:space="preserve">Receita de suspensão aplicada a qualquer cor: esmalte seco + água + aditivos. Valores de partida — ajuste nos testes.</t>
  </si>
  <si>
    <t xml:space="preserve">Parâmetro</t>
  </si>
  <si>
    <t xml:space="preserve">Observação</t>
  </si>
  <si>
    <t xml:space="preserve">Densidade alvo do líquido (g/ml)</t>
  </si>
  <si>
    <t xml:space="preserve">Pincel: 1,50–1,65. Meça com proveta de 100 ml e balança.</t>
  </si>
  <si>
    <t xml:space="preserve">Densidade do esmalte seco (g/cm³)</t>
  </si>
  <si>
    <t xml:space="preserve">Típico de esmaltes; mantenha 2,6 se não medir.</t>
  </si>
  <si>
    <t xml:space="preserve">Teor de sólidos (% em massa)</t>
  </si>
  <si>
    <t xml:space="preserve">Calculado a partir das densidades</t>
  </si>
  <si>
    <t xml:space="preserve">Esmalte seco por litro (kg/L)</t>
  </si>
  <si>
    <t xml:space="preserve">Quanto pó vai em cada litro</t>
  </si>
  <si>
    <t xml:space="preserve">% sobre esmalte seco</t>
  </si>
  <si>
    <t xml:space="preserve">Custo (R$/kg de esmalte seco)</t>
  </si>
  <si>
    <t xml:space="preserve">Função</t>
  </si>
  <si>
    <t xml:space="preserve">Ligante: pincelada lisa, adere sem esfarelar; dá "corpo"</t>
  </si>
  <si>
    <t xml:space="preserve">Suspensão: evita sedimento duro no pote</t>
  </si>
  <si>
    <t xml:space="preserve">Retarda a secagem: pincelada sem marcas</t>
  </si>
  <si>
    <t xml:space="preserve">Defloculante: permite densidade alta com fluidez</t>
  </si>
  <si>
    <t xml:space="preserve">Evita mofo/odor da CMC no pote</t>
  </si>
  <si>
    <t xml:space="preserve">Total aditivos</t>
  </si>
  <si>
    <t xml:space="preserve">Preparo sugerido (por lote)</t>
  </si>
  <si>
    <t xml:space="preserve">1. Hidrate a CMC em parte da água quente na véspera (gel sem grumos) e misture o conservante.</t>
  </si>
  <si>
    <t xml:space="preserve">2. Disperse a bentonita na água restante, com misturador de alta rotação.</t>
  </si>
  <si>
    <t xml:space="preserve">3. Adicione o esmalte seco (base + colorantes) aos poucos; passe na peneira 120 mesh.</t>
  </si>
  <si>
    <t xml:space="preserve">4. Junte o gel de CMC e a glicerina; corrija a densidade com água até o valor-alvo.</t>
  </si>
  <si>
    <t xml:space="preserve">5. Descanse 24 h, meça densidade de novo e envase. Guarde um pote de cada lote como contraprova.</t>
  </si>
  <si>
    <t xml:space="preserve">Rótulo: "Aplicar 3 demãos cruzadas, secando entre elas. Cone 6 (1220–1240 °C)." Leve a FDS dos aditivos para a FDS do produto.</t>
  </si>
  <si>
    <t xml:space="preserve">Custo total e preço — Fase 1 (pincel) e Fase 2 (pó para mergulho)</t>
  </si>
  <si>
    <t xml:space="preserve">Todas as premissas em amarelo são estimativas ilustrativas — substitua pelas suas.</t>
  </si>
  <si>
    <t xml:space="preserve">Premissa</t>
  </si>
  <si>
    <t xml:space="preserve">FASE 1 — Pincel</t>
  </si>
  <si>
    <t xml:space="preserve">Volume do pote pequeno (ml)</t>
  </si>
  <si>
    <t xml:space="preserve">Volume do pote grande (ml)</t>
  </si>
  <si>
    <t xml:space="preserve">Embalagem pote pequeno (pote + tampa + rótulo + lacre) — R$/un</t>
  </si>
  <si>
    <t xml:space="preserve">Embalagem pote grande — R$/un</t>
  </si>
  <si>
    <t xml:space="preserve">Mão de obra (preparo + envase) — R$/L</t>
  </si>
  <si>
    <t xml:space="preserve">Energia, QC e rateio de testes — R$/L</t>
  </si>
  <si>
    <t xml:space="preserve">Preço de venda praticado — pote pequeno (pesquise o mercado)</t>
  </si>
  <si>
    <t xml:space="preserve">Preço de venda praticado — pote grande (pesquise o mercado)</t>
  </si>
  <si>
    <t xml:space="preserve">FASE 2 — Pó para mergulho</t>
  </si>
  <si>
    <t xml:space="preserve">Embalagem 500 g — R$/un</t>
  </si>
  <si>
    <t xml:space="preserve">Embalagem 1 kg — R$/un</t>
  </si>
  <si>
    <t xml:space="preserve">Mão de obra pó — R$/kg</t>
  </si>
  <si>
    <t xml:space="preserve">Energia, QC e rateio de testes pó — R$/kg</t>
  </si>
  <si>
    <t xml:space="preserve">COMUNS</t>
  </si>
  <si>
    <t xml:space="preserve">Perdas de processo (% sobre MP)</t>
  </si>
  <si>
    <t xml:space="preserve">Impostos sobre venda (Simples Nacional, %)</t>
  </si>
  <si>
    <t xml:space="preserve">Taxa do canal (marketplace/cartão, %)</t>
  </si>
  <si>
    <t xml:space="preserve">Margem de lucro desejada (% sobre preço)</t>
  </si>
  <si>
    <t xml:space="preserve">Preço mínimo = custo ÷ (1 − impostos − taxa − margem desejada). Margem real = (preço praticado × (1 − impostos − taxa) − custo) ÷ preço praticado. Vermelho = abaixo da margem desejada.</t>
  </si>
  <si>
    <t xml:space="preserve">FASE 1 — Esmalte líquido para pincel</t>
  </si>
  <si>
    <t xml:space="preserve">Cor</t>
  </si>
  <si>
    <t xml:space="preserve">MP (R$/kg seco)</t>
  </si>
  <si>
    <t xml:space="preserve">Custo por litro (R$/L)</t>
  </si>
  <si>
    <t xml:space="preserve">Custo pote pequeno</t>
  </si>
  <si>
    <t xml:space="preserve">Preço mínimo pote pequeno</t>
  </si>
  <si>
    <t xml:space="preserve">Margem real pote pequeno</t>
  </si>
  <si>
    <t xml:space="preserve">Custo pote grande</t>
  </si>
  <si>
    <t xml:space="preserve">Preço mínimo pote grande</t>
  </si>
  <si>
    <t xml:space="preserve">Margem real pote grande</t>
  </si>
  <si>
    <t xml:space="preserve">Média</t>
  </si>
  <si>
    <t xml:space="preserve">FASE 2 — Pó para o ceramista preparar (mergulho/banho)</t>
  </si>
  <si>
    <t xml:space="preserve">MP (R$/kg)</t>
  </si>
  <si>
    <t xml:space="preserve">MP + perdas (R$/kg)</t>
  </si>
  <si>
    <t xml:space="preserve">Custo produção (R$/kg)</t>
  </si>
  <si>
    <t xml:space="preserve">Custo 500 g (R$)</t>
  </si>
  <si>
    <t xml:space="preserve">Preço mínimo 500 g</t>
  </si>
  <si>
    <t xml:space="preserve">Custo 1 kg (R$)</t>
  </si>
  <si>
    <t xml:space="preserve">Preço mínimo 1 kg</t>
  </si>
  <si>
    <t xml:space="preserve">Lucro 1 kg (R$)</t>
  </si>
  <si>
    <t xml:space="preserve">Na Fase 2 o pó sai sem aditivos: o ceramista adiciona água (densidade de banho ~1,45–1,50). Inclua no rótulo a proporção sugerida de água.</t>
  </si>
  <si>
    <t xml:space="preserve">Registro de testes de queima — rodada 1 (pincel)</t>
  </si>
  <si>
    <t xml:space="preserve">17 cores × 2 argilas × 2 e 3 demãos × 2 curvas = 136 placas. A linha 5 é um EXEMPLO preenchido.</t>
  </si>
  <si>
    <t xml:space="preserve">ID</t>
  </si>
  <si>
    <t xml:space="preserve">Data</t>
  </si>
  <si>
    <t xml:space="preserve">Lote</t>
  </si>
  <si>
    <t xml:space="preserve">Nº cor</t>
  </si>
  <si>
    <t xml:space="preserve">Argila</t>
  </si>
  <si>
    <t xml:space="preserve">Demãos (pincel)</t>
  </si>
  <si>
    <t xml:space="preserve">Curva</t>
  </si>
  <si>
    <t xml:space="preserve">Cone 6 dobrou?</t>
  </si>
  <si>
    <t xml:space="preserve">Temp. máx (°C)</t>
  </si>
  <si>
    <t xml:space="preserve">Aparência geral (1–5)</t>
  </si>
  <si>
    <t xml:space="preserve">Marcas de pincel</t>
  </si>
  <si>
    <t xml:space="preserve">Gretamento</t>
  </si>
  <si>
    <t xml:space="preserve">Escorrimento</t>
  </si>
  <si>
    <t xml:space="preserve">Limão/vinagre 24h</t>
  </si>
  <si>
    <t xml:space="preserve">Choque térmico</t>
  </si>
  <si>
    <t xml:space="preserve">Lixiviação</t>
  </si>
  <si>
    <t xml:space="preserve">Foto (link)</t>
  </si>
  <si>
    <t xml:space="preserve">2026-11-03</t>
  </si>
  <si>
    <t xml:space="preserve">L001</t>
  </si>
  <si>
    <t xml:space="preserve">Clara</t>
  </si>
  <si>
    <t xml:space="preserve">2 demãos</t>
  </si>
  <si>
    <t xml:space="preserve">Padrão</t>
  </si>
  <si>
    <t xml:space="preserve">Leve</t>
  </si>
  <si>
    <t xml:space="preserve">Nenhum</t>
  </si>
  <si>
    <t xml:space="preserve">Pendente</t>
  </si>
  <si>
    <t xml:space="preserve">drive/fotos/L001-01.jpg</t>
  </si>
  <si>
    <t xml:space="preserve">EXEMPLO — brilho uniforme, marcas leves de pincel com 2 demãos</t>
  </si>
  <si>
    <t xml:space="preserve">Resfriamento lento</t>
  </si>
  <si>
    <t xml:space="preserve">3 demãos</t>
  </si>
  <si>
    <t xml:space="preserve">Escura</t>
  </si>
  <si>
    <t xml:space="preserve">Estabilidade do líquido no pote (validade)</t>
  </si>
  <si>
    <t xml:space="preserve">Um pote fechado por cor/lote, guardado em temperatura ambiente. Avalie aos 7, 30 e 90 dias. A linha 5 é um EXEMPLO.</t>
  </si>
  <si>
    <t xml:space="preserve">Data envase</t>
  </si>
  <si>
    <t xml:space="preserve">Densidade no envase (g/ml)</t>
  </si>
  <si>
    <t xml:space="preserve">Pincelabilidade (1–5)</t>
  </si>
  <si>
    <t xml:space="preserve">Sedimento 7 d</t>
  </si>
  <si>
    <t xml:space="preserve">Sedimento 30 d</t>
  </si>
  <si>
    <t xml:space="preserve">Sedimento 90 d</t>
  </si>
  <si>
    <t xml:space="preserve">Ressuspende com espátula?</t>
  </si>
  <si>
    <t xml:space="preserve">Mofo/odor 30 d</t>
  </si>
  <si>
    <t xml:space="preserve">Mofo/odor 90 d</t>
  </si>
  <si>
    <t xml:space="preserve">Densidade 90 d (g/ml)</t>
  </si>
  <si>
    <t xml:space="preserve">Aprovado p/ venda?</t>
  </si>
  <si>
    <t xml:space="preserve">2026-11-01</t>
  </si>
  <si>
    <t xml:space="preserve">Mole</t>
  </si>
  <si>
    <t xml:space="preserve">Não</t>
  </si>
  <si>
    <t xml:space="preserve">EXEMPLO — aguardando leitura de 90 dias</t>
  </si>
  <si>
    <t xml:space="preserve">Sedimento "Duro" ou mofo = reprovar o lote e revisar bentonita/CMC/conservante na aba Pincel.</t>
  </si>
  <si>
    <t xml:space="preserve">Curvas de queima — cone 6, forno elétrico</t>
  </si>
  <si>
    <t xml:space="preserve">Use cones pirométricos em toda queima de teste. Cone 6 grande: ~1222 °C a 60 °C/h; ~1243 °C a 150 °C/h (Orton).</t>
  </si>
  <si>
    <t xml:space="preserve">Etapa</t>
  </si>
  <si>
    <t xml:space="preserve">Taxa (°C/h)</t>
  </si>
  <si>
    <t xml:space="preserve">De (°C)</t>
  </si>
  <si>
    <t xml:space="preserve">Até (°C)</t>
  </si>
  <si>
    <t xml:space="preserve">Patamar (min)</t>
  </si>
  <si>
    <t xml:space="preserve">Duração (h)</t>
  </si>
  <si>
    <t xml:space="preserve">1. Aquecimento inicial</t>
  </si>
  <si>
    <t xml:space="preserve">2. Aquecimento</t>
  </si>
  <si>
    <t xml:space="preserve">3. Final lento</t>
  </si>
  <si>
    <t xml:space="preserve">4. Queda livre (forno desligado)</t>
  </si>
  <si>
    <t xml:space="preserve">livre</t>
  </si>
  <si>
    <t xml:space="preserve">5. Resfriamento controlado</t>
  </si>
  <si>
    <t xml:space="preserve">Total curva padrão (h)</t>
  </si>
  <si>
    <t xml:space="preserve">Total resfriamento lento, até 800 °C (h)</t>
  </si>
  <si>
    <t xml:space="preserve">Biscoito sugerido: cone 04 (~1060 °C). Esmaltes aplicados sobre biscoito por imersão; densidade de partida 1,45–1,50 g/ml.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</si>
</sst>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"/>
    <numFmt numFmtId="166" formatCode="#,##0.00"/>
    <numFmt numFmtId="167" formatCode="0.0"/>
    <numFmt numFmtId="168" formatCode="0.0;\-0.0;\-"/>
    <numFmt numFmtId="169" formatCode="0.0%"/>
    <numFmt numFmtId="170" formatCode="0.000;\-0.000;\-"/>
    <numFmt numFmtId="171" formatCode="0.000"/>
    <numFmt numFmtId="172" formatCode="0.0000"/>
    <numFmt numFmtId="173" formatCode="&quot;R$ &quot;#,##0.00"/>
    <numFmt numFmtId="174" formatCode="0"/>
    <numFmt numFmtId="17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7A4A2E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7A4A2E"/>
      <name val="Arial"/>
      <family val="0"/>
      <charset val="1"/>
    </font>
    <font>
      <i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7A4A2E"/>
        <bgColor rgb="FF666666"/>
      </patternFill>
    </fill>
    <fill>
      <patternFill patternType="solid">
        <fgColor rgb="FFF6EFE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 patternType="solid">
          <fgColor rgb="FF7A4A2E"/>
          <bgColor rgb="FF000000"/>
        </patternFill>
      </fill>
    </dxf>
    <dxf>
      <fill>
        <patternFill patternType="solid">
          <fgColor rgb="FFF6EFE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6EF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7A4A2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2"/>
      <c r="B4" s="2"/>
    </row>
    <row r="5" customFormat="false" ht="15" hidden="false" customHeight="false" outlineLevel="0" collapsed="false">
      <c r="A5" s="4" t="s">
        <v>2</v>
      </c>
      <c r="B5" s="2"/>
    </row>
    <row r="6" customFormat="false" ht="23.85" hidden="false" customHeight="false" outlineLevel="0" collapsed="false">
      <c r="A6" s="5" t="s">
        <v>3</v>
      </c>
      <c r="B6" s="6" t="s">
        <v>4</v>
      </c>
    </row>
    <row r="7" customFormat="false" ht="23.85" hidden="false" customHeight="false" outlineLevel="0" collapsed="false">
      <c r="A7" s="5" t="s">
        <v>5</v>
      </c>
      <c r="B7" s="6" t="s">
        <v>6</v>
      </c>
    </row>
    <row r="8" customFormat="false" ht="15" hidden="false" customHeight="false" outlineLevel="0" collapsed="false">
      <c r="A8" s="5" t="s">
        <v>7</v>
      </c>
      <c r="B8" s="6" t="s">
        <v>8</v>
      </c>
    </row>
    <row r="9" customFormat="false" ht="23.85" hidden="false" customHeight="false" outlineLevel="0" collapsed="false">
      <c r="A9" s="5" t="s">
        <v>9</v>
      </c>
      <c r="B9" s="6" t="s">
        <v>10</v>
      </c>
    </row>
    <row r="10" customFormat="false" ht="23.85" hidden="false" customHeight="false" outlineLevel="0" collapsed="false">
      <c r="A10" s="5" t="s">
        <v>11</v>
      </c>
      <c r="B10" s="6" t="s">
        <v>12</v>
      </c>
    </row>
    <row r="11" customFormat="false" ht="15" hidden="false" customHeight="false" outlineLevel="0" collapsed="false">
      <c r="A11" s="5" t="s">
        <v>13</v>
      </c>
      <c r="B11" s="6" t="s">
        <v>14</v>
      </c>
    </row>
    <row r="12" customFormat="false" ht="15" hidden="false" customHeight="false" outlineLevel="0" collapsed="false">
      <c r="A12" s="5" t="s">
        <v>15</v>
      </c>
      <c r="B12" s="6" t="s">
        <v>16</v>
      </c>
    </row>
    <row r="13" customFormat="false" ht="15" hidden="false" customHeight="false" outlineLevel="0" collapsed="false">
      <c r="A13" s="5" t="s">
        <v>17</v>
      </c>
      <c r="B13" s="6" t="s">
        <v>18</v>
      </c>
    </row>
    <row r="14" customFormat="false" ht="15" hidden="false" customHeight="false" outlineLevel="0" collapsed="false">
      <c r="A14" s="2"/>
      <c r="B14" s="2"/>
    </row>
    <row r="15" customFormat="false" ht="15" hidden="false" customHeight="false" outlineLevel="0" collapsed="false">
      <c r="A15" s="4" t="s">
        <v>19</v>
      </c>
      <c r="B15" s="2"/>
    </row>
    <row r="16" customFormat="false" ht="15" hidden="false" customHeight="false" outlineLevel="0" collapsed="false">
      <c r="A16" s="7" t="s">
        <v>20</v>
      </c>
      <c r="B16" s="6" t="s">
        <v>21</v>
      </c>
    </row>
    <row r="17" customFormat="false" ht="15" hidden="false" customHeight="false" outlineLevel="0" collapsed="false">
      <c r="A17" s="8" t="s">
        <v>22</v>
      </c>
      <c r="B17" s="6" t="s">
        <v>23</v>
      </c>
    </row>
    <row r="18" customFormat="false" ht="15" hidden="false" customHeight="false" outlineLevel="0" collapsed="false">
      <c r="A18" s="9" t="s">
        <v>24</v>
      </c>
      <c r="B18" s="6" t="s">
        <v>25</v>
      </c>
    </row>
    <row r="19" customFormat="false" ht="15" hidden="false" customHeight="false" outlineLevel="0" collapsed="false">
      <c r="A19" s="10" t="s">
        <v>26</v>
      </c>
      <c r="B19" s="6" t="s">
        <v>27</v>
      </c>
    </row>
    <row r="20" customFormat="false" ht="15" hidden="false" customHeight="false" outlineLevel="0" collapsed="false">
      <c r="A20" s="2"/>
      <c r="B20" s="2"/>
    </row>
    <row r="21" customFormat="false" ht="15" hidden="false" customHeight="false" outlineLevel="0" collapsed="false">
      <c r="A21" s="4" t="s">
        <v>28</v>
      </c>
      <c r="B21" s="2"/>
    </row>
    <row r="22" customFormat="false" ht="23.85" hidden="false" customHeight="false" outlineLevel="0" collapsed="false">
      <c r="A22" s="5" t="s">
        <v>29</v>
      </c>
      <c r="B22" s="6" t="s">
        <v>30</v>
      </c>
    </row>
    <row r="23" customFormat="false" ht="23.85" hidden="false" customHeight="false" outlineLevel="0" collapsed="false">
      <c r="A23" s="5" t="s">
        <v>31</v>
      </c>
      <c r="B23" s="6" t="s">
        <v>32</v>
      </c>
    </row>
    <row r="24" customFormat="false" ht="15" hidden="false" customHeight="false" outlineLevel="0" collapsed="false">
      <c r="A24" s="5" t="s">
        <v>33</v>
      </c>
      <c r="B24" s="6" t="s">
        <v>34</v>
      </c>
    </row>
    <row r="25" customFormat="false" ht="23.85" hidden="false" customHeight="false" outlineLevel="0" collapsed="false">
      <c r="A25" s="5" t="s">
        <v>35</v>
      </c>
      <c r="B25" s="6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18" min="4" style="0" width="9.51"/>
    <col collapsed="false" customWidth="true" hidden="false" outlineLevel="0" max="19" min="19" style="0" width="48"/>
  </cols>
  <sheetData>
    <row r="1" customFormat="false" ht="17.35" hidden="false" customHeight="false" outlineLevel="0" collapsed="false">
      <c r="A1" s="1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" hidden="false" customHeight="false" outlineLevel="0" collapsed="false">
      <c r="A2" s="3" t="s">
        <v>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5" hidden="false" customHeight="false" outlineLevel="0" collapsed="false">
      <c r="A3" s="2"/>
      <c r="B3" s="2"/>
      <c r="C3" s="2"/>
      <c r="D3" s="2"/>
      <c r="E3" s="3" t="s">
        <v>39</v>
      </c>
      <c r="F3" s="11" t="n">
        <v>60.08</v>
      </c>
      <c r="G3" s="11" t="n">
        <v>101.96</v>
      </c>
      <c r="H3" s="11" t="n">
        <v>69.62</v>
      </c>
      <c r="I3" s="11" t="n">
        <v>61.98</v>
      </c>
      <c r="J3" s="11" t="n">
        <v>94.2</v>
      </c>
      <c r="K3" s="11" t="n">
        <v>29.88</v>
      </c>
      <c r="L3" s="11" t="n">
        <v>56.08</v>
      </c>
      <c r="M3" s="11" t="n">
        <v>40.3</v>
      </c>
      <c r="N3" s="11" t="n">
        <v>103.62</v>
      </c>
      <c r="O3" s="11" t="n">
        <v>81.38</v>
      </c>
      <c r="P3" s="11" t="n">
        <v>123.22</v>
      </c>
      <c r="Q3" s="11" t="n">
        <v>159.69</v>
      </c>
      <c r="R3" s="11" t="n">
        <v>79.87</v>
      </c>
      <c r="S3" s="2"/>
    </row>
    <row r="4" customFormat="false" ht="23.85" hidden="false" customHeight="false" outlineLevel="0" collapsed="false">
      <c r="A4" s="12" t="s">
        <v>40</v>
      </c>
      <c r="B4" s="12" t="s">
        <v>41</v>
      </c>
      <c r="C4" s="12" t="s">
        <v>42</v>
      </c>
      <c r="D4" s="12" t="s">
        <v>43</v>
      </c>
      <c r="E4" s="12" t="s">
        <v>44</v>
      </c>
      <c r="F4" s="12" t="s">
        <v>45</v>
      </c>
      <c r="G4" s="12" t="s">
        <v>46</v>
      </c>
      <c r="H4" s="12" t="s">
        <v>47</v>
      </c>
      <c r="I4" s="12" t="s">
        <v>48</v>
      </c>
      <c r="J4" s="12" t="s">
        <v>49</v>
      </c>
      <c r="K4" s="12" t="s">
        <v>50</v>
      </c>
      <c r="L4" s="12" t="s">
        <v>51</v>
      </c>
      <c r="M4" s="12" t="s">
        <v>52</v>
      </c>
      <c r="N4" s="12" t="s">
        <v>53</v>
      </c>
      <c r="O4" s="12" t="s">
        <v>54</v>
      </c>
      <c r="P4" s="12" t="s">
        <v>55</v>
      </c>
      <c r="Q4" s="12" t="s">
        <v>56</v>
      </c>
      <c r="R4" s="12" t="s">
        <v>57</v>
      </c>
      <c r="S4" s="12" t="s">
        <v>58</v>
      </c>
    </row>
    <row r="5" customFormat="false" ht="15" hidden="false" customHeight="false" outlineLevel="0" collapsed="false">
      <c r="A5" s="13" t="s">
        <v>59</v>
      </c>
      <c r="B5" s="13" t="s">
        <v>60</v>
      </c>
      <c r="C5" s="13"/>
      <c r="D5" s="14" t="n">
        <v>3.5</v>
      </c>
      <c r="E5" s="15" t="n">
        <v>0.3</v>
      </c>
      <c r="F5" s="16" t="n">
        <v>67</v>
      </c>
      <c r="G5" s="16" t="n">
        <v>18.5</v>
      </c>
      <c r="H5" s="16" t="n">
        <v>0</v>
      </c>
      <c r="I5" s="16" t="n">
        <v>3</v>
      </c>
      <c r="J5" s="16" t="n">
        <v>11</v>
      </c>
      <c r="K5" s="16" t="n">
        <v>0</v>
      </c>
      <c r="L5" s="16" t="n">
        <v>0.2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0.1</v>
      </c>
      <c r="R5" s="16" t="n">
        <v>0</v>
      </c>
      <c r="S5" s="17" t="s">
        <v>61</v>
      </c>
    </row>
    <row r="6" customFormat="false" ht="15" hidden="false" customHeight="false" outlineLevel="0" collapsed="false">
      <c r="A6" s="13" t="s">
        <v>62</v>
      </c>
      <c r="B6" s="13" t="s">
        <v>60</v>
      </c>
      <c r="C6" s="13"/>
      <c r="D6" s="14" t="n">
        <v>2.5</v>
      </c>
      <c r="E6" s="15" t="n">
        <v>13.9</v>
      </c>
      <c r="F6" s="16" t="n">
        <v>46.5</v>
      </c>
      <c r="G6" s="16" t="n">
        <v>39.5</v>
      </c>
      <c r="H6" s="16" t="n">
        <v>0</v>
      </c>
      <c r="I6" s="16" t="n">
        <v>0</v>
      </c>
      <c r="J6" s="16" t="n">
        <v>0</v>
      </c>
      <c r="K6" s="16" t="n">
        <v>0</v>
      </c>
      <c r="L6" s="16" t="n">
        <v>0</v>
      </c>
      <c r="M6" s="16" t="n">
        <v>0</v>
      </c>
      <c r="N6" s="16" t="n">
        <v>0</v>
      </c>
      <c r="O6" s="16" t="n">
        <v>0</v>
      </c>
      <c r="P6" s="16" t="n">
        <v>0</v>
      </c>
      <c r="Q6" s="16" t="n">
        <v>0.1</v>
      </c>
      <c r="R6" s="16" t="n">
        <v>0</v>
      </c>
      <c r="S6" s="17" t="s">
        <v>63</v>
      </c>
    </row>
    <row r="7" customFormat="false" ht="15" hidden="false" customHeight="false" outlineLevel="0" collapsed="false">
      <c r="A7" s="13" t="s">
        <v>64</v>
      </c>
      <c r="B7" s="13" t="s">
        <v>60</v>
      </c>
      <c r="C7" s="13"/>
      <c r="D7" s="14" t="n">
        <v>2</v>
      </c>
      <c r="E7" s="15" t="n">
        <v>0</v>
      </c>
      <c r="F7" s="16" t="n">
        <v>100</v>
      </c>
      <c r="G7" s="16" t="n">
        <v>0</v>
      </c>
      <c r="H7" s="16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16" t="n">
        <v>0</v>
      </c>
      <c r="N7" s="16" t="n">
        <v>0</v>
      </c>
      <c r="O7" s="16" t="n">
        <v>0</v>
      </c>
      <c r="P7" s="16" t="n">
        <v>0</v>
      </c>
      <c r="Q7" s="16" t="n">
        <v>0</v>
      </c>
      <c r="R7" s="16" t="n">
        <v>0</v>
      </c>
      <c r="S7" s="17" t="s">
        <v>65</v>
      </c>
    </row>
    <row r="8" customFormat="false" ht="15" hidden="false" customHeight="false" outlineLevel="0" collapsed="false">
      <c r="A8" s="13" t="s">
        <v>66</v>
      </c>
      <c r="B8" s="13" t="s">
        <v>60</v>
      </c>
      <c r="C8" s="13"/>
      <c r="D8" s="14" t="n">
        <v>8</v>
      </c>
      <c r="E8" s="15" t="n">
        <v>0</v>
      </c>
      <c r="F8" s="16" t="n">
        <v>51.7</v>
      </c>
      <c r="G8" s="16" t="n">
        <v>0</v>
      </c>
      <c r="H8" s="16" t="n">
        <v>0</v>
      </c>
      <c r="I8" s="16" t="n">
        <v>0</v>
      </c>
      <c r="J8" s="16" t="n">
        <v>0</v>
      </c>
      <c r="K8" s="16" t="n">
        <v>0</v>
      </c>
      <c r="L8" s="16" t="n">
        <v>48.3</v>
      </c>
      <c r="M8" s="16" t="n">
        <v>0</v>
      </c>
      <c r="N8" s="16" t="n">
        <v>0</v>
      </c>
      <c r="O8" s="16" t="n">
        <v>0</v>
      </c>
      <c r="P8" s="16" t="n">
        <v>0</v>
      </c>
      <c r="Q8" s="16" t="n">
        <v>0</v>
      </c>
      <c r="R8" s="16" t="n">
        <v>0</v>
      </c>
      <c r="S8" s="17" t="s">
        <v>65</v>
      </c>
    </row>
    <row r="9" customFormat="false" ht="15" hidden="false" customHeight="false" outlineLevel="0" collapsed="false">
      <c r="A9" s="13" t="s">
        <v>67</v>
      </c>
      <c r="B9" s="13" t="s">
        <v>60</v>
      </c>
      <c r="C9" s="13"/>
      <c r="D9" s="14" t="n">
        <v>2</v>
      </c>
      <c r="E9" s="15" t="n">
        <v>44</v>
      </c>
      <c r="F9" s="16" t="n">
        <v>0</v>
      </c>
      <c r="G9" s="16" t="n">
        <v>0</v>
      </c>
      <c r="H9" s="16" t="n">
        <v>0</v>
      </c>
      <c r="I9" s="16" t="n">
        <v>0</v>
      </c>
      <c r="J9" s="16" t="n">
        <v>0</v>
      </c>
      <c r="K9" s="16" t="n">
        <v>0</v>
      </c>
      <c r="L9" s="16" t="n">
        <v>56</v>
      </c>
      <c r="M9" s="16" t="n">
        <v>0</v>
      </c>
      <c r="N9" s="16" t="n">
        <v>0</v>
      </c>
      <c r="O9" s="16" t="n">
        <v>0</v>
      </c>
      <c r="P9" s="16" t="n">
        <v>0</v>
      </c>
      <c r="Q9" s="16" t="n">
        <v>0</v>
      </c>
      <c r="R9" s="16" t="n">
        <v>0</v>
      </c>
      <c r="S9" s="17" t="s">
        <v>65</v>
      </c>
    </row>
    <row r="10" customFormat="false" ht="15" hidden="false" customHeight="false" outlineLevel="0" collapsed="false">
      <c r="A10" s="13" t="s">
        <v>68</v>
      </c>
      <c r="B10" s="13" t="s">
        <v>60</v>
      </c>
      <c r="C10" s="13"/>
      <c r="D10" s="14" t="n">
        <v>2</v>
      </c>
      <c r="E10" s="15" t="n">
        <v>47.7</v>
      </c>
      <c r="F10" s="16" t="n">
        <v>0</v>
      </c>
      <c r="G10" s="16" t="n">
        <v>0</v>
      </c>
      <c r="H10" s="16" t="n">
        <v>0</v>
      </c>
      <c r="I10" s="16" t="n">
        <v>0</v>
      </c>
      <c r="J10" s="16" t="n">
        <v>0</v>
      </c>
      <c r="K10" s="16" t="n">
        <v>0</v>
      </c>
      <c r="L10" s="16" t="n">
        <v>30.4</v>
      </c>
      <c r="M10" s="16" t="n">
        <v>21.9</v>
      </c>
      <c r="N10" s="16" t="n">
        <v>0</v>
      </c>
      <c r="O10" s="16" t="n">
        <v>0</v>
      </c>
      <c r="P10" s="16" t="n">
        <v>0</v>
      </c>
      <c r="Q10" s="16" t="n">
        <v>0</v>
      </c>
      <c r="R10" s="16" t="n">
        <v>0</v>
      </c>
      <c r="S10" s="17" t="s">
        <v>65</v>
      </c>
    </row>
    <row r="11" customFormat="false" ht="15" hidden="false" customHeight="false" outlineLevel="0" collapsed="false">
      <c r="A11" s="13" t="s">
        <v>69</v>
      </c>
      <c r="B11" s="13" t="s">
        <v>60</v>
      </c>
      <c r="C11" s="13"/>
      <c r="D11" s="14" t="n">
        <v>4</v>
      </c>
      <c r="E11" s="15" t="n">
        <v>4.8</v>
      </c>
      <c r="F11" s="16" t="n">
        <v>63.5</v>
      </c>
      <c r="G11" s="16" t="n">
        <v>0</v>
      </c>
      <c r="H11" s="16" t="n">
        <v>0</v>
      </c>
      <c r="I11" s="16" t="n">
        <v>0</v>
      </c>
      <c r="J11" s="16" t="n">
        <v>0</v>
      </c>
      <c r="K11" s="16" t="n">
        <v>0</v>
      </c>
      <c r="L11" s="16" t="n">
        <v>0</v>
      </c>
      <c r="M11" s="16" t="n">
        <v>31.9</v>
      </c>
      <c r="N11" s="16" t="n">
        <v>0</v>
      </c>
      <c r="O11" s="16" t="n">
        <v>0</v>
      </c>
      <c r="P11" s="16" t="n">
        <v>0</v>
      </c>
      <c r="Q11" s="16" t="n">
        <v>0</v>
      </c>
      <c r="R11" s="16" t="n">
        <v>0</v>
      </c>
      <c r="S11" s="17" t="s">
        <v>65</v>
      </c>
    </row>
    <row r="12" customFormat="false" ht="15" hidden="false" customHeight="false" outlineLevel="0" collapsed="false">
      <c r="A12" s="13" t="s">
        <v>70</v>
      </c>
      <c r="B12" s="13" t="s">
        <v>60</v>
      </c>
      <c r="C12" s="13"/>
      <c r="D12" s="14" t="n">
        <v>35</v>
      </c>
      <c r="E12" s="15" t="n">
        <v>29.8</v>
      </c>
      <c r="F12" s="16" t="n">
        <v>0</v>
      </c>
      <c r="G12" s="16" t="n">
        <v>0</v>
      </c>
      <c r="H12" s="16" t="n">
        <v>0</v>
      </c>
      <c r="I12" s="16" t="n">
        <v>0</v>
      </c>
      <c r="J12" s="16" t="n">
        <v>0</v>
      </c>
      <c r="K12" s="16" t="n">
        <v>0</v>
      </c>
      <c r="L12" s="16" t="n">
        <v>0</v>
      </c>
      <c r="M12" s="16" t="n">
        <v>0</v>
      </c>
      <c r="N12" s="16" t="n">
        <v>70.2</v>
      </c>
      <c r="O12" s="16" t="n">
        <v>0</v>
      </c>
      <c r="P12" s="16" t="n">
        <v>0</v>
      </c>
      <c r="Q12" s="16" t="n">
        <v>0</v>
      </c>
      <c r="R12" s="16" t="n">
        <v>0</v>
      </c>
      <c r="S12" s="17" t="s">
        <v>65</v>
      </c>
    </row>
    <row r="13" customFormat="false" ht="15" hidden="false" customHeight="false" outlineLevel="0" collapsed="false">
      <c r="A13" s="13" t="s">
        <v>71</v>
      </c>
      <c r="B13" s="13" t="s">
        <v>60</v>
      </c>
      <c r="C13" s="13"/>
      <c r="D13" s="14" t="n">
        <v>40</v>
      </c>
      <c r="E13" s="15" t="n">
        <v>0</v>
      </c>
      <c r="F13" s="16" t="n">
        <v>0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0</v>
      </c>
      <c r="L13" s="16" t="n">
        <v>0</v>
      </c>
      <c r="M13" s="16" t="n">
        <v>0</v>
      </c>
      <c r="N13" s="16" t="n">
        <v>0</v>
      </c>
      <c r="O13" s="16" t="n">
        <v>100</v>
      </c>
      <c r="P13" s="16" t="n">
        <v>0</v>
      </c>
      <c r="Q13" s="16" t="n">
        <v>0</v>
      </c>
      <c r="R13" s="16" t="n">
        <v>0</v>
      </c>
      <c r="S13" s="17" t="s">
        <v>65</v>
      </c>
    </row>
    <row r="14" customFormat="false" ht="15" hidden="false" customHeight="false" outlineLevel="0" collapsed="false">
      <c r="A14" s="13" t="s">
        <v>72</v>
      </c>
      <c r="B14" s="13" t="s">
        <v>60</v>
      </c>
      <c r="C14" s="13"/>
      <c r="D14" s="14" t="n">
        <v>15</v>
      </c>
      <c r="E14" s="15" t="n">
        <v>0</v>
      </c>
      <c r="F14" s="16" t="n">
        <v>46.5</v>
      </c>
      <c r="G14" s="16" t="n">
        <v>0</v>
      </c>
      <c r="H14" s="16" t="n">
        <v>23.1</v>
      </c>
      <c r="I14" s="16" t="n">
        <v>10.3</v>
      </c>
      <c r="J14" s="16" t="n">
        <v>0</v>
      </c>
      <c r="K14" s="16" t="n">
        <v>0</v>
      </c>
      <c r="L14" s="16" t="n">
        <v>20.1</v>
      </c>
      <c r="M14" s="16" t="n">
        <v>0</v>
      </c>
      <c r="N14" s="16" t="n">
        <v>0</v>
      </c>
      <c r="O14" s="16" t="n">
        <v>0</v>
      </c>
      <c r="P14" s="16" t="n">
        <v>0</v>
      </c>
      <c r="Q14" s="16" t="n">
        <v>0</v>
      </c>
      <c r="R14" s="16" t="n">
        <v>0</v>
      </c>
      <c r="S14" s="17" t="s">
        <v>73</v>
      </c>
    </row>
    <row r="15" customFormat="false" ht="15" hidden="false" customHeight="false" outlineLevel="0" collapsed="false">
      <c r="A15" s="13" t="s">
        <v>74</v>
      </c>
      <c r="B15" s="13" t="s">
        <v>60</v>
      </c>
      <c r="C15" s="13"/>
      <c r="D15" s="14" t="n">
        <v>300</v>
      </c>
      <c r="E15" s="15" t="n">
        <v>59.6</v>
      </c>
      <c r="F15" s="16" t="n">
        <v>0</v>
      </c>
      <c r="G15" s="16" t="n">
        <v>0</v>
      </c>
      <c r="H15" s="16" t="n">
        <v>0</v>
      </c>
      <c r="I15" s="16" t="n">
        <v>0</v>
      </c>
      <c r="J15" s="16" t="n">
        <v>0</v>
      </c>
      <c r="K15" s="16" t="n">
        <v>40.4</v>
      </c>
      <c r="L15" s="16" t="n">
        <v>0</v>
      </c>
      <c r="M15" s="16" t="n">
        <v>0</v>
      </c>
      <c r="N15" s="16" t="n">
        <v>0</v>
      </c>
      <c r="O15" s="16" t="n">
        <v>0</v>
      </c>
      <c r="P15" s="16" t="n">
        <v>0</v>
      </c>
      <c r="Q15" s="16" t="n">
        <v>0</v>
      </c>
      <c r="R15" s="16" t="n">
        <v>0</v>
      </c>
      <c r="S15" s="17" t="s">
        <v>65</v>
      </c>
    </row>
    <row r="16" customFormat="false" ht="15" hidden="false" customHeight="false" outlineLevel="0" collapsed="false">
      <c r="A16" s="13" t="s">
        <v>75</v>
      </c>
      <c r="B16" s="13" t="s">
        <v>76</v>
      </c>
      <c r="C16" s="13"/>
      <c r="D16" s="14" t="n">
        <v>25</v>
      </c>
      <c r="E16" s="15" t="n">
        <v>0</v>
      </c>
      <c r="F16" s="16" t="n">
        <v>32.8</v>
      </c>
      <c r="G16" s="16" t="n">
        <v>0</v>
      </c>
      <c r="H16" s="16" t="n">
        <v>0</v>
      </c>
      <c r="I16" s="16" t="n">
        <v>0</v>
      </c>
      <c r="J16" s="16" t="n">
        <v>0</v>
      </c>
      <c r="K16" s="16" t="n">
        <v>0</v>
      </c>
      <c r="L16" s="16" t="n">
        <v>0</v>
      </c>
      <c r="M16" s="16" t="n">
        <v>0</v>
      </c>
      <c r="N16" s="16" t="n">
        <v>0</v>
      </c>
      <c r="O16" s="16" t="n">
        <v>0</v>
      </c>
      <c r="P16" s="16" t="n">
        <v>67.2</v>
      </c>
      <c r="Q16" s="16" t="n">
        <v>0</v>
      </c>
      <c r="R16" s="16" t="n">
        <v>0</v>
      </c>
      <c r="S16" s="17" t="s">
        <v>77</v>
      </c>
    </row>
    <row r="17" customFormat="false" ht="15" hidden="false" customHeight="false" outlineLevel="0" collapsed="false">
      <c r="A17" s="13" t="s">
        <v>78</v>
      </c>
      <c r="B17" s="13" t="s">
        <v>76</v>
      </c>
      <c r="C17" s="13"/>
      <c r="D17" s="14" t="n">
        <v>20</v>
      </c>
      <c r="E17" s="15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 t="n">
        <v>0</v>
      </c>
      <c r="O17" s="16" t="n">
        <v>0</v>
      </c>
      <c r="P17" s="16" t="n">
        <v>0</v>
      </c>
      <c r="Q17" s="16" t="n">
        <v>100</v>
      </c>
      <c r="R17" s="16" t="n">
        <v>0</v>
      </c>
      <c r="S17" s="17" t="s">
        <v>76</v>
      </c>
    </row>
    <row r="18" customFormat="false" ht="15" hidden="false" customHeight="false" outlineLevel="0" collapsed="false">
      <c r="A18" s="13" t="s">
        <v>79</v>
      </c>
      <c r="B18" s="13" t="s">
        <v>76</v>
      </c>
      <c r="C18" s="13"/>
      <c r="D18" s="14" t="n">
        <v>900</v>
      </c>
      <c r="E18" s="15" t="n">
        <v>37</v>
      </c>
      <c r="F18" s="16" t="n">
        <v>0</v>
      </c>
      <c r="G18" s="16" t="n">
        <v>0</v>
      </c>
      <c r="H18" s="16" t="n">
        <v>0</v>
      </c>
      <c r="I18" s="16" t="n">
        <v>0</v>
      </c>
      <c r="J18" s="16" t="n">
        <v>0</v>
      </c>
      <c r="K18" s="16" t="n">
        <v>0</v>
      </c>
      <c r="L18" s="16" t="n">
        <v>0</v>
      </c>
      <c r="M18" s="16" t="n">
        <v>0</v>
      </c>
      <c r="N18" s="16" t="n">
        <v>0</v>
      </c>
      <c r="O18" s="16" t="n">
        <v>0</v>
      </c>
      <c r="P18" s="16" t="n">
        <v>0</v>
      </c>
      <c r="Q18" s="16" t="n">
        <v>0</v>
      </c>
      <c r="R18" s="16" t="n">
        <v>0</v>
      </c>
      <c r="S18" s="17" t="s">
        <v>80</v>
      </c>
    </row>
    <row r="19" customFormat="false" ht="15" hidden="false" customHeight="false" outlineLevel="0" collapsed="false">
      <c r="A19" s="13" t="s">
        <v>81</v>
      </c>
      <c r="B19" s="13" t="s">
        <v>76</v>
      </c>
      <c r="C19" s="13"/>
      <c r="D19" s="14" t="n">
        <v>150</v>
      </c>
      <c r="E19" s="15" t="n">
        <v>28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 t="n">
        <v>0</v>
      </c>
      <c r="O19" s="16" t="n">
        <v>0</v>
      </c>
      <c r="P19" s="16" t="n">
        <v>0</v>
      </c>
      <c r="Q19" s="16" t="n">
        <v>0</v>
      </c>
      <c r="R19" s="16" t="n">
        <v>0</v>
      </c>
      <c r="S19" s="17" t="s">
        <v>82</v>
      </c>
    </row>
    <row r="20" customFormat="false" ht="15" hidden="false" customHeight="false" outlineLevel="0" collapsed="false">
      <c r="A20" s="13" t="s">
        <v>83</v>
      </c>
      <c r="B20" s="13" t="s">
        <v>76</v>
      </c>
      <c r="C20" s="13"/>
      <c r="D20" s="14" t="n">
        <v>80</v>
      </c>
      <c r="E20" s="15" t="n">
        <v>0</v>
      </c>
      <c r="F20" s="16" t="n">
        <v>0</v>
      </c>
      <c r="G20" s="16" t="n">
        <v>0</v>
      </c>
      <c r="H20" s="16" t="n">
        <v>0</v>
      </c>
      <c r="I20" s="16" t="n">
        <v>0</v>
      </c>
      <c r="J20" s="16" t="n">
        <v>0</v>
      </c>
      <c r="K20" s="16" t="n">
        <v>0</v>
      </c>
      <c r="L20" s="16" t="n">
        <v>0</v>
      </c>
      <c r="M20" s="16" t="n">
        <v>0</v>
      </c>
      <c r="N20" s="16" t="n">
        <v>0</v>
      </c>
      <c r="O20" s="16" t="n">
        <v>0</v>
      </c>
      <c r="P20" s="16" t="n">
        <v>0</v>
      </c>
      <c r="Q20" s="16" t="n">
        <v>4</v>
      </c>
      <c r="R20" s="16" t="n">
        <v>95</v>
      </c>
      <c r="S20" s="17" t="s">
        <v>84</v>
      </c>
    </row>
    <row r="21" customFormat="false" ht="15" hidden="false" customHeight="false" outlineLevel="0" collapsed="false">
      <c r="A21" s="13" t="s">
        <v>85</v>
      </c>
      <c r="B21" s="13" t="s">
        <v>76</v>
      </c>
      <c r="C21" s="13"/>
      <c r="D21" s="14" t="n">
        <v>60</v>
      </c>
      <c r="E21" s="15" t="n">
        <v>0</v>
      </c>
      <c r="F21" s="16" t="n">
        <v>0</v>
      </c>
      <c r="G21" s="16" t="n">
        <v>0</v>
      </c>
      <c r="H21" s="16" t="n">
        <v>0</v>
      </c>
      <c r="I21" s="16" t="n">
        <v>0</v>
      </c>
      <c r="J21" s="16" t="n">
        <v>0</v>
      </c>
      <c r="K21" s="16" t="n">
        <v>0</v>
      </c>
      <c r="L21" s="16" t="n">
        <v>0</v>
      </c>
      <c r="M21" s="16" t="n">
        <v>0</v>
      </c>
      <c r="N21" s="16" t="n">
        <v>0</v>
      </c>
      <c r="O21" s="16" t="n">
        <v>0</v>
      </c>
      <c r="P21" s="16" t="n">
        <v>0</v>
      </c>
      <c r="Q21" s="16" t="n">
        <v>0</v>
      </c>
      <c r="R21" s="16" t="n">
        <v>0</v>
      </c>
      <c r="S21" s="17" t="s">
        <v>86</v>
      </c>
    </row>
    <row r="22" customFormat="false" ht="15" hidden="false" customHeight="false" outlineLevel="0" collapsed="false">
      <c r="A22" s="13" t="s">
        <v>87</v>
      </c>
      <c r="B22" s="13" t="s">
        <v>76</v>
      </c>
      <c r="C22" s="13"/>
      <c r="D22" s="14" t="n">
        <v>250</v>
      </c>
      <c r="E22" s="15" t="n">
        <v>0</v>
      </c>
      <c r="F22" s="16" t="n">
        <v>0</v>
      </c>
      <c r="G22" s="16" t="n">
        <v>0</v>
      </c>
      <c r="H22" s="16" t="n">
        <v>0</v>
      </c>
      <c r="I22" s="16" t="n">
        <v>0</v>
      </c>
      <c r="J22" s="16" t="n">
        <v>0</v>
      </c>
      <c r="K22" s="16" t="n">
        <v>0</v>
      </c>
      <c r="L22" s="16" t="n">
        <v>0</v>
      </c>
      <c r="M22" s="16" t="n">
        <v>0</v>
      </c>
      <c r="N22" s="16" t="n">
        <v>0</v>
      </c>
      <c r="O22" s="16" t="n">
        <v>0</v>
      </c>
      <c r="P22" s="16" t="n">
        <v>0</v>
      </c>
      <c r="Q22" s="16" t="n">
        <v>0</v>
      </c>
      <c r="R22" s="16" t="n">
        <v>0</v>
      </c>
      <c r="S22" s="17" t="s">
        <v>88</v>
      </c>
    </row>
    <row r="23" customFormat="false" ht="15" hidden="false" customHeight="false" outlineLevel="0" collapsed="false">
      <c r="A23" s="13" t="s">
        <v>89</v>
      </c>
      <c r="B23" s="13" t="s">
        <v>76</v>
      </c>
      <c r="C23" s="13"/>
      <c r="D23" s="14" t="n">
        <v>250</v>
      </c>
      <c r="E23" s="15" t="n">
        <v>0</v>
      </c>
      <c r="F23" s="16" t="n">
        <v>0</v>
      </c>
      <c r="G23" s="16" t="n">
        <v>0</v>
      </c>
      <c r="H23" s="16" t="n">
        <v>0</v>
      </c>
      <c r="I23" s="16" t="n">
        <v>0</v>
      </c>
      <c r="J23" s="16" t="n">
        <v>0</v>
      </c>
      <c r="K23" s="16" t="n">
        <v>0</v>
      </c>
      <c r="L23" s="16" t="n">
        <v>0</v>
      </c>
      <c r="M23" s="16" t="n">
        <v>0</v>
      </c>
      <c r="N23" s="16" t="n">
        <v>0</v>
      </c>
      <c r="O23" s="16" t="n">
        <v>0</v>
      </c>
      <c r="P23" s="16" t="n">
        <v>0</v>
      </c>
      <c r="Q23" s="16" t="n">
        <v>0</v>
      </c>
      <c r="R23" s="16" t="n">
        <v>0</v>
      </c>
      <c r="S23" s="17" t="s">
        <v>90</v>
      </c>
    </row>
    <row r="24" customFormat="false" ht="15" hidden="false" customHeight="false" outlineLevel="0" collapsed="false">
      <c r="A24" s="13" t="s">
        <v>91</v>
      </c>
      <c r="B24" s="13" t="s">
        <v>76</v>
      </c>
      <c r="C24" s="13"/>
      <c r="D24" s="14" t="n">
        <v>350</v>
      </c>
      <c r="E24" s="15" t="n">
        <v>0</v>
      </c>
      <c r="F24" s="16" t="n">
        <v>0</v>
      </c>
      <c r="G24" s="16" t="n">
        <v>0</v>
      </c>
      <c r="H24" s="16" t="n">
        <v>0</v>
      </c>
      <c r="I24" s="16" t="n">
        <v>0</v>
      </c>
      <c r="J24" s="16" t="n">
        <v>0</v>
      </c>
      <c r="K24" s="16" t="n">
        <v>0</v>
      </c>
      <c r="L24" s="16" t="n">
        <v>0</v>
      </c>
      <c r="M24" s="16" t="n">
        <v>0</v>
      </c>
      <c r="N24" s="16" t="n">
        <v>0</v>
      </c>
      <c r="O24" s="16" t="n">
        <v>0</v>
      </c>
      <c r="P24" s="16" t="n">
        <v>0</v>
      </c>
      <c r="Q24" s="16" t="n">
        <v>0</v>
      </c>
      <c r="R24" s="16" t="n">
        <v>0</v>
      </c>
      <c r="S24" s="17" t="s">
        <v>92</v>
      </c>
    </row>
    <row r="25" customFormat="false" ht="15" hidden="false" customHeight="false" outlineLevel="0" collapsed="false">
      <c r="A25" s="13" t="s">
        <v>93</v>
      </c>
      <c r="B25" s="13" t="s">
        <v>94</v>
      </c>
      <c r="C25" s="13"/>
      <c r="D25" s="14" t="n">
        <v>60</v>
      </c>
      <c r="E25" s="15" t="n">
        <v>0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7" t="s">
        <v>95</v>
      </c>
    </row>
    <row r="26" customFormat="false" ht="15" hidden="false" customHeight="false" outlineLevel="0" collapsed="false">
      <c r="A26" s="13" t="s">
        <v>96</v>
      </c>
      <c r="B26" s="13" t="s">
        <v>94</v>
      </c>
      <c r="C26" s="13"/>
      <c r="D26" s="14" t="n">
        <v>8</v>
      </c>
      <c r="E26" s="15" t="n">
        <v>0</v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6" t="n">
        <v>0</v>
      </c>
      <c r="R26" s="16" t="n">
        <v>0</v>
      </c>
      <c r="S26" s="17" t="s">
        <v>97</v>
      </c>
    </row>
    <row r="27" customFormat="false" ht="15" hidden="false" customHeight="false" outlineLevel="0" collapsed="false">
      <c r="A27" s="13" t="s">
        <v>98</v>
      </c>
      <c r="B27" s="13" t="s">
        <v>94</v>
      </c>
      <c r="C27" s="13"/>
      <c r="D27" s="14" t="n">
        <v>20</v>
      </c>
      <c r="E27" s="15" t="n">
        <v>0</v>
      </c>
      <c r="F27" s="16" t="n">
        <v>0</v>
      </c>
      <c r="G27" s="16" t="n">
        <v>0</v>
      </c>
      <c r="H27" s="16" t="n">
        <v>0</v>
      </c>
      <c r="I27" s="16" t="n">
        <v>0</v>
      </c>
      <c r="J27" s="16" t="n">
        <v>0</v>
      </c>
      <c r="K27" s="16" t="n">
        <v>0</v>
      </c>
      <c r="L27" s="16" t="n">
        <v>0</v>
      </c>
      <c r="M27" s="16" t="n">
        <v>0</v>
      </c>
      <c r="N27" s="16" t="n">
        <v>0</v>
      </c>
      <c r="O27" s="16" t="n">
        <v>0</v>
      </c>
      <c r="P27" s="16" t="n">
        <v>0</v>
      </c>
      <c r="Q27" s="16" t="n">
        <v>0</v>
      </c>
      <c r="R27" s="16" t="n">
        <v>0</v>
      </c>
      <c r="S27" s="17" t="s">
        <v>99</v>
      </c>
    </row>
    <row r="28" customFormat="false" ht="15" hidden="false" customHeight="false" outlineLevel="0" collapsed="false">
      <c r="A28" s="13" t="s">
        <v>100</v>
      </c>
      <c r="B28" s="13" t="s">
        <v>94</v>
      </c>
      <c r="C28" s="13"/>
      <c r="D28" s="14" t="n">
        <v>10</v>
      </c>
      <c r="E28" s="15" t="n">
        <v>0</v>
      </c>
      <c r="F28" s="16" t="n">
        <v>0</v>
      </c>
      <c r="G28" s="16" t="n">
        <v>0</v>
      </c>
      <c r="H28" s="16" t="n">
        <v>0</v>
      </c>
      <c r="I28" s="16" t="n">
        <v>0</v>
      </c>
      <c r="J28" s="16" t="n">
        <v>0</v>
      </c>
      <c r="K28" s="16" t="n">
        <v>0</v>
      </c>
      <c r="L28" s="16" t="n">
        <v>0</v>
      </c>
      <c r="M28" s="16" t="n">
        <v>0</v>
      </c>
      <c r="N28" s="16" t="n">
        <v>0</v>
      </c>
      <c r="O28" s="16" t="n">
        <v>0</v>
      </c>
      <c r="P28" s="16" t="n">
        <v>0</v>
      </c>
      <c r="Q28" s="16" t="n">
        <v>0</v>
      </c>
      <c r="R28" s="16" t="n">
        <v>0</v>
      </c>
      <c r="S28" s="17" t="s">
        <v>101</v>
      </c>
    </row>
    <row r="29" customFormat="false" ht="15" hidden="false" customHeight="false" outlineLevel="0" collapsed="false">
      <c r="A29" s="13" t="s">
        <v>102</v>
      </c>
      <c r="B29" s="13" t="s">
        <v>94</v>
      </c>
      <c r="C29" s="13"/>
      <c r="D29" s="14" t="n">
        <v>80</v>
      </c>
      <c r="E29" s="15" t="n">
        <v>0</v>
      </c>
      <c r="F29" s="16" t="n">
        <v>0</v>
      </c>
      <c r="G29" s="16" t="n">
        <v>0</v>
      </c>
      <c r="H29" s="16" t="n">
        <v>0</v>
      </c>
      <c r="I29" s="16" t="n">
        <v>0</v>
      </c>
      <c r="J29" s="16" t="n">
        <v>0</v>
      </c>
      <c r="K29" s="16" t="n">
        <v>0</v>
      </c>
      <c r="L29" s="16" t="n">
        <v>0</v>
      </c>
      <c r="M29" s="16" t="n">
        <v>0</v>
      </c>
      <c r="N29" s="16" t="n">
        <v>0</v>
      </c>
      <c r="O29" s="16" t="n">
        <v>0</v>
      </c>
      <c r="P29" s="16" t="n">
        <v>0</v>
      </c>
      <c r="Q29" s="16" t="n">
        <v>0</v>
      </c>
      <c r="R29" s="16" t="n">
        <v>0</v>
      </c>
      <c r="S29" s="17" t="s">
        <v>103</v>
      </c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customFormat="false" ht="15" hidden="false" customHeight="false" outlineLevel="0" collapsed="false">
      <c r="A31" s="3" t="s">
        <v>104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7" min="2" style="0" width="11"/>
  </cols>
  <sheetData>
    <row r="1" customFormat="false" ht="17.35" hidden="false" customHeight="false" outlineLevel="0" collapsed="false">
      <c r="A1" s="1" t="s">
        <v>105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false" outlineLevel="0" collapsed="false">
      <c r="A2" s="3" t="s">
        <v>106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2"/>
      <c r="B3" s="2"/>
      <c r="C3" s="2"/>
      <c r="D3" s="2"/>
      <c r="E3" s="3" t="s">
        <v>107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35.05" hidden="false" customHeight="false" outlineLevel="0" collapsed="false">
      <c r="A4" s="12" t="s">
        <v>40</v>
      </c>
      <c r="B4" s="12" t="s">
        <v>108</v>
      </c>
      <c r="C4" s="12" t="s">
        <v>109</v>
      </c>
      <c r="D4" s="12" t="s">
        <v>43</v>
      </c>
      <c r="E4" s="12" t="s">
        <v>110</v>
      </c>
      <c r="F4" s="12" t="s">
        <v>111</v>
      </c>
      <c r="G4" s="12" t="s">
        <v>112</v>
      </c>
      <c r="H4" s="12" t="s">
        <v>113</v>
      </c>
      <c r="I4" s="12" t="s">
        <v>114</v>
      </c>
      <c r="J4" s="12" t="s">
        <v>115</v>
      </c>
      <c r="K4" s="12" t="s">
        <v>116</v>
      </c>
      <c r="L4" s="12" t="s">
        <v>117</v>
      </c>
      <c r="M4" s="12" t="s">
        <v>118</v>
      </c>
      <c r="N4" s="12" t="s">
        <v>119</v>
      </c>
      <c r="O4" s="12" t="s">
        <v>120</v>
      </c>
      <c r="P4" s="12" t="s">
        <v>121</v>
      </c>
      <c r="Q4" s="12" t="s">
        <v>122</v>
      </c>
    </row>
    <row r="5" customFormat="false" ht="15" hidden="false" customHeight="false" outlineLevel="0" collapsed="false">
      <c r="A5" s="13" t="s">
        <v>66</v>
      </c>
      <c r="B5" s="15" t="n">
        <v>20</v>
      </c>
      <c r="C5" s="18" t="n">
        <f aca="false">IF(B5="","",B5/SUM($B$5:$B$14))</f>
        <v>0.2</v>
      </c>
      <c r="D5" s="19" t="n">
        <f aca="false">IF(A5="","",IFERROR(INDEX('Matérias-Primas'!$D$5:$D$45,MATCH(A5,'Matérias-Primas'!$A$5:$A$45,0)),0))</f>
        <v>8</v>
      </c>
      <c r="E5" s="20" t="n">
        <f aca="false">IF(A5="",0,C5*IFERROR(INDEX('Matérias-Primas'!$F$5:$F$45,MATCH(A5,'Matérias-Primas'!$A$5:$A$45,0)),0))</f>
        <v>10.34</v>
      </c>
      <c r="F5" s="20" t="n">
        <f aca="false">IF(A5="",0,C5*IFERROR(INDEX('Matérias-Primas'!$G$5:$G$45,MATCH(A5,'Matérias-Primas'!$A$5:$A$45,0)),0))</f>
        <v>0</v>
      </c>
      <c r="G5" s="20" t="n">
        <f aca="false">IF(A5="",0,C5*IFERROR(INDEX('Matérias-Primas'!$H$5:$H$45,MATCH(A5,'Matérias-Primas'!$A$5:$A$45,0)),0))</f>
        <v>0</v>
      </c>
      <c r="H5" s="20" t="n">
        <f aca="false">IF(A5="",0,C5*IFERROR(INDEX('Matérias-Primas'!$I$5:$I$45,MATCH(A5,'Matérias-Primas'!$A$5:$A$45,0)),0))</f>
        <v>0</v>
      </c>
      <c r="I5" s="20" t="n">
        <f aca="false">IF(A5="",0,C5*IFERROR(INDEX('Matérias-Primas'!$J$5:$J$45,MATCH(A5,'Matérias-Primas'!$A$5:$A$45,0)),0))</f>
        <v>0</v>
      </c>
      <c r="J5" s="20" t="n">
        <f aca="false">IF(A5="",0,C5*IFERROR(INDEX('Matérias-Primas'!$K$5:$K$45,MATCH(A5,'Matérias-Primas'!$A$5:$A$45,0)),0))</f>
        <v>0</v>
      </c>
      <c r="K5" s="20" t="n">
        <f aca="false">IF(A5="",0,C5*IFERROR(INDEX('Matérias-Primas'!$L$5:$L$45,MATCH(A5,'Matérias-Primas'!$A$5:$A$45,0)),0))</f>
        <v>9.66</v>
      </c>
      <c r="L5" s="20" t="n">
        <f aca="false">IF(A5="",0,C5*IFERROR(INDEX('Matérias-Primas'!$M$5:$M$45,MATCH(A5,'Matérias-Primas'!$A$5:$A$45,0)),0))</f>
        <v>0</v>
      </c>
      <c r="M5" s="20" t="n">
        <f aca="false">IF(A5="",0,C5*IFERROR(INDEX('Matérias-Primas'!$N$5:$N$45,MATCH(A5,'Matérias-Primas'!$A$5:$A$45,0)),0))</f>
        <v>0</v>
      </c>
      <c r="N5" s="20" t="n">
        <f aca="false">IF(A5="",0,C5*IFERROR(INDEX('Matérias-Primas'!$O$5:$O$45,MATCH(A5,'Matérias-Primas'!$A$5:$A$45,0)),0))</f>
        <v>0</v>
      </c>
      <c r="O5" s="20" t="n">
        <f aca="false">IF(A5="",0,C5*IFERROR(INDEX('Matérias-Primas'!$P$5:$P$45,MATCH(A5,'Matérias-Primas'!$A$5:$A$45,0)),0))</f>
        <v>0</v>
      </c>
      <c r="P5" s="20" t="n">
        <f aca="false">IF(A5="",0,C5*IFERROR(INDEX('Matérias-Primas'!$Q$5:$Q$45,MATCH(A5,'Matérias-Primas'!$A$5:$A$45,0)),0))</f>
        <v>0</v>
      </c>
      <c r="Q5" s="20" t="n">
        <f aca="false">IF(A5="",0,C5*IFERROR(INDEX('Matérias-Primas'!$R$5:$R$45,MATCH(A5,'Matérias-Primas'!$A$5:$A$45,0)),0))</f>
        <v>0</v>
      </c>
    </row>
    <row r="6" customFormat="false" ht="15" hidden="false" customHeight="false" outlineLevel="0" collapsed="false">
      <c r="A6" s="13" t="s">
        <v>72</v>
      </c>
      <c r="B6" s="15" t="n">
        <v>20</v>
      </c>
      <c r="C6" s="18" t="n">
        <f aca="false">IF(B6="","",B6/SUM($B$5:$B$14))</f>
        <v>0.2</v>
      </c>
      <c r="D6" s="19" t="n">
        <f aca="false">IF(A6="","",IFERROR(INDEX('Matérias-Primas'!$D$5:$D$45,MATCH(A6,'Matérias-Primas'!$A$5:$A$45,0)),0))</f>
        <v>15</v>
      </c>
      <c r="E6" s="20" t="n">
        <f aca="false">IF(A6="",0,C6*IFERROR(INDEX('Matérias-Primas'!$F$5:$F$45,MATCH(A6,'Matérias-Primas'!$A$5:$A$45,0)),0))</f>
        <v>9.3</v>
      </c>
      <c r="F6" s="20" t="n">
        <f aca="false">IF(A6="",0,C6*IFERROR(INDEX('Matérias-Primas'!$G$5:$G$45,MATCH(A6,'Matérias-Primas'!$A$5:$A$45,0)),0))</f>
        <v>0</v>
      </c>
      <c r="G6" s="20" t="n">
        <f aca="false">IF(A6="",0,C6*IFERROR(INDEX('Matérias-Primas'!$H$5:$H$45,MATCH(A6,'Matérias-Primas'!$A$5:$A$45,0)),0))</f>
        <v>4.62</v>
      </c>
      <c r="H6" s="20" t="n">
        <f aca="false">IF(A6="",0,C6*IFERROR(INDEX('Matérias-Primas'!$I$5:$I$45,MATCH(A6,'Matérias-Primas'!$A$5:$A$45,0)),0))</f>
        <v>2.06</v>
      </c>
      <c r="I6" s="20" t="n">
        <f aca="false">IF(A6="",0,C6*IFERROR(INDEX('Matérias-Primas'!$J$5:$J$45,MATCH(A6,'Matérias-Primas'!$A$5:$A$45,0)),0))</f>
        <v>0</v>
      </c>
      <c r="J6" s="20" t="n">
        <f aca="false">IF(A6="",0,C6*IFERROR(INDEX('Matérias-Primas'!$K$5:$K$45,MATCH(A6,'Matérias-Primas'!$A$5:$A$45,0)),0))</f>
        <v>0</v>
      </c>
      <c r="K6" s="20" t="n">
        <f aca="false">IF(A6="",0,C6*IFERROR(INDEX('Matérias-Primas'!$L$5:$L$45,MATCH(A6,'Matérias-Primas'!$A$5:$A$45,0)),0))</f>
        <v>4.02</v>
      </c>
      <c r="L6" s="20" t="n">
        <f aca="false">IF(A6="",0,C6*IFERROR(INDEX('Matérias-Primas'!$M$5:$M$45,MATCH(A6,'Matérias-Primas'!$A$5:$A$45,0)),0))</f>
        <v>0</v>
      </c>
      <c r="M6" s="20" t="n">
        <f aca="false">IF(A6="",0,C6*IFERROR(INDEX('Matérias-Primas'!$N$5:$N$45,MATCH(A6,'Matérias-Primas'!$A$5:$A$45,0)),0))</f>
        <v>0</v>
      </c>
      <c r="N6" s="20" t="n">
        <f aca="false">IF(A6="",0,C6*IFERROR(INDEX('Matérias-Primas'!$O$5:$O$45,MATCH(A6,'Matérias-Primas'!$A$5:$A$45,0)),0))</f>
        <v>0</v>
      </c>
      <c r="O6" s="20" t="n">
        <f aca="false">IF(A6="",0,C6*IFERROR(INDEX('Matérias-Primas'!$P$5:$P$45,MATCH(A6,'Matérias-Primas'!$A$5:$A$45,0)),0))</f>
        <v>0</v>
      </c>
      <c r="P6" s="20" t="n">
        <f aca="false">IF(A6="",0,C6*IFERROR(INDEX('Matérias-Primas'!$Q$5:$Q$45,MATCH(A6,'Matérias-Primas'!$A$5:$A$45,0)),0))</f>
        <v>0</v>
      </c>
      <c r="Q6" s="20" t="n">
        <f aca="false">IF(A6="",0,C6*IFERROR(INDEX('Matérias-Primas'!$R$5:$R$45,MATCH(A6,'Matérias-Primas'!$A$5:$A$45,0)),0))</f>
        <v>0</v>
      </c>
    </row>
    <row r="7" customFormat="false" ht="15" hidden="false" customHeight="false" outlineLevel="0" collapsed="false">
      <c r="A7" s="13" t="s">
        <v>59</v>
      </c>
      <c r="B7" s="15" t="n">
        <v>20</v>
      </c>
      <c r="C7" s="18" t="n">
        <f aca="false">IF(B7="","",B7/SUM($B$5:$B$14))</f>
        <v>0.2</v>
      </c>
      <c r="D7" s="19" t="n">
        <f aca="false">IF(A7="","",IFERROR(INDEX('Matérias-Primas'!$D$5:$D$45,MATCH(A7,'Matérias-Primas'!$A$5:$A$45,0)),0))</f>
        <v>3.5</v>
      </c>
      <c r="E7" s="20" t="n">
        <f aca="false">IF(A7="",0,C7*IFERROR(INDEX('Matérias-Primas'!$F$5:$F$45,MATCH(A7,'Matérias-Primas'!$A$5:$A$45,0)),0))</f>
        <v>13.4</v>
      </c>
      <c r="F7" s="20" t="n">
        <f aca="false">IF(A7="",0,C7*IFERROR(INDEX('Matérias-Primas'!$G$5:$G$45,MATCH(A7,'Matérias-Primas'!$A$5:$A$45,0)),0))</f>
        <v>3.7</v>
      </c>
      <c r="G7" s="20" t="n">
        <f aca="false">IF(A7="",0,C7*IFERROR(INDEX('Matérias-Primas'!$H$5:$H$45,MATCH(A7,'Matérias-Primas'!$A$5:$A$45,0)),0))</f>
        <v>0</v>
      </c>
      <c r="H7" s="20" t="n">
        <f aca="false">IF(A7="",0,C7*IFERROR(INDEX('Matérias-Primas'!$I$5:$I$45,MATCH(A7,'Matérias-Primas'!$A$5:$A$45,0)),0))</f>
        <v>0.6</v>
      </c>
      <c r="I7" s="20" t="n">
        <f aca="false">IF(A7="",0,C7*IFERROR(INDEX('Matérias-Primas'!$J$5:$J$45,MATCH(A7,'Matérias-Primas'!$A$5:$A$45,0)),0))</f>
        <v>2.2</v>
      </c>
      <c r="J7" s="20" t="n">
        <f aca="false">IF(A7="",0,C7*IFERROR(INDEX('Matérias-Primas'!$K$5:$K$45,MATCH(A7,'Matérias-Primas'!$A$5:$A$45,0)),0))</f>
        <v>0</v>
      </c>
      <c r="K7" s="20" t="n">
        <f aca="false">IF(A7="",0,C7*IFERROR(INDEX('Matérias-Primas'!$L$5:$L$45,MATCH(A7,'Matérias-Primas'!$A$5:$A$45,0)),0))</f>
        <v>0.04</v>
      </c>
      <c r="L7" s="20" t="n">
        <f aca="false">IF(A7="",0,C7*IFERROR(INDEX('Matérias-Primas'!$M$5:$M$45,MATCH(A7,'Matérias-Primas'!$A$5:$A$45,0)),0))</f>
        <v>0</v>
      </c>
      <c r="M7" s="20" t="n">
        <f aca="false">IF(A7="",0,C7*IFERROR(INDEX('Matérias-Primas'!$N$5:$N$45,MATCH(A7,'Matérias-Primas'!$A$5:$A$45,0)),0))</f>
        <v>0</v>
      </c>
      <c r="N7" s="20" t="n">
        <f aca="false">IF(A7="",0,C7*IFERROR(INDEX('Matérias-Primas'!$O$5:$O$45,MATCH(A7,'Matérias-Primas'!$A$5:$A$45,0)),0))</f>
        <v>0</v>
      </c>
      <c r="O7" s="20" t="n">
        <f aca="false">IF(A7="",0,C7*IFERROR(INDEX('Matérias-Primas'!$P$5:$P$45,MATCH(A7,'Matérias-Primas'!$A$5:$A$45,0)),0))</f>
        <v>0</v>
      </c>
      <c r="P7" s="20" t="n">
        <f aca="false">IF(A7="",0,C7*IFERROR(INDEX('Matérias-Primas'!$Q$5:$Q$45,MATCH(A7,'Matérias-Primas'!$A$5:$A$45,0)),0))</f>
        <v>0.02</v>
      </c>
      <c r="Q7" s="20" t="n">
        <f aca="false">IF(A7="",0,C7*IFERROR(INDEX('Matérias-Primas'!$R$5:$R$45,MATCH(A7,'Matérias-Primas'!$A$5:$A$45,0)),0))</f>
        <v>0</v>
      </c>
    </row>
    <row r="8" customFormat="false" ht="15" hidden="false" customHeight="false" outlineLevel="0" collapsed="false">
      <c r="A8" s="13" t="s">
        <v>62</v>
      </c>
      <c r="B8" s="15" t="n">
        <v>20</v>
      </c>
      <c r="C8" s="18" t="n">
        <f aca="false">IF(B8="","",B8/SUM($B$5:$B$14))</f>
        <v>0.2</v>
      </c>
      <c r="D8" s="19" t="n">
        <f aca="false">IF(A8="","",IFERROR(INDEX('Matérias-Primas'!$D$5:$D$45,MATCH(A8,'Matérias-Primas'!$A$5:$A$45,0)),0))</f>
        <v>2.5</v>
      </c>
      <c r="E8" s="20" t="n">
        <f aca="false">IF(A8="",0,C8*IFERROR(INDEX('Matérias-Primas'!$F$5:$F$45,MATCH(A8,'Matérias-Primas'!$A$5:$A$45,0)),0))</f>
        <v>9.3</v>
      </c>
      <c r="F8" s="20" t="n">
        <f aca="false">IF(A8="",0,C8*IFERROR(INDEX('Matérias-Primas'!$G$5:$G$45,MATCH(A8,'Matérias-Primas'!$A$5:$A$45,0)),0))</f>
        <v>7.9</v>
      </c>
      <c r="G8" s="20" t="n">
        <f aca="false">IF(A8="",0,C8*IFERROR(INDEX('Matérias-Primas'!$H$5:$H$45,MATCH(A8,'Matérias-Primas'!$A$5:$A$45,0)),0))</f>
        <v>0</v>
      </c>
      <c r="H8" s="20" t="n">
        <f aca="false">IF(A8="",0,C8*IFERROR(INDEX('Matérias-Primas'!$I$5:$I$45,MATCH(A8,'Matérias-Primas'!$A$5:$A$45,0)),0))</f>
        <v>0</v>
      </c>
      <c r="I8" s="20" t="n">
        <f aca="false">IF(A8="",0,C8*IFERROR(INDEX('Matérias-Primas'!$J$5:$J$45,MATCH(A8,'Matérias-Primas'!$A$5:$A$45,0)),0))</f>
        <v>0</v>
      </c>
      <c r="J8" s="20" t="n">
        <f aca="false">IF(A8="",0,C8*IFERROR(INDEX('Matérias-Primas'!$K$5:$K$45,MATCH(A8,'Matérias-Primas'!$A$5:$A$45,0)),0))</f>
        <v>0</v>
      </c>
      <c r="K8" s="20" t="n">
        <f aca="false">IF(A8="",0,C8*IFERROR(INDEX('Matérias-Primas'!$L$5:$L$45,MATCH(A8,'Matérias-Primas'!$A$5:$A$45,0)),0))</f>
        <v>0</v>
      </c>
      <c r="L8" s="20" t="n">
        <f aca="false">IF(A8="",0,C8*IFERROR(INDEX('Matérias-Primas'!$M$5:$M$45,MATCH(A8,'Matérias-Primas'!$A$5:$A$45,0)),0))</f>
        <v>0</v>
      </c>
      <c r="M8" s="20" t="n">
        <f aca="false">IF(A8="",0,C8*IFERROR(INDEX('Matérias-Primas'!$N$5:$N$45,MATCH(A8,'Matérias-Primas'!$A$5:$A$45,0)),0))</f>
        <v>0</v>
      </c>
      <c r="N8" s="20" t="n">
        <f aca="false">IF(A8="",0,C8*IFERROR(INDEX('Matérias-Primas'!$O$5:$O$45,MATCH(A8,'Matérias-Primas'!$A$5:$A$45,0)),0))</f>
        <v>0</v>
      </c>
      <c r="O8" s="20" t="n">
        <f aca="false">IF(A8="",0,C8*IFERROR(INDEX('Matérias-Primas'!$P$5:$P$45,MATCH(A8,'Matérias-Primas'!$A$5:$A$45,0)),0))</f>
        <v>0</v>
      </c>
      <c r="P8" s="20" t="n">
        <f aca="false">IF(A8="",0,C8*IFERROR(INDEX('Matérias-Primas'!$Q$5:$Q$45,MATCH(A8,'Matérias-Primas'!$A$5:$A$45,0)),0))</f>
        <v>0.02</v>
      </c>
      <c r="Q8" s="20" t="n">
        <f aca="false">IF(A8="",0,C8*IFERROR(INDEX('Matérias-Primas'!$R$5:$R$45,MATCH(A8,'Matérias-Primas'!$A$5:$A$45,0)),0))</f>
        <v>0</v>
      </c>
    </row>
    <row r="9" customFormat="false" ht="15" hidden="false" customHeight="false" outlineLevel="0" collapsed="false">
      <c r="A9" s="13" t="s">
        <v>64</v>
      </c>
      <c r="B9" s="15" t="n">
        <v>20</v>
      </c>
      <c r="C9" s="18" t="n">
        <f aca="false">IF(B9="","",B9/SUM($B$5:$B$14))</f>
        <v>0.2</v>
      </c>
      <c r="D9" s="19" t="n">
        <f aca="false">IF(A9="","",IFERROR(INDEX('Matérias-Primas'!$D$5:$D$45,MATCH(A9,'Matérias-Primas'!$A$5:$A$45,0)),0))</f>
        <v>2</v>
      </c>
      <c r="E9" s="20" t="n">
        <f aca="false">IF(A9="",0,C9*IFERROR(INDEX('Matérias-Primas'!$F$5:$F$45,MATCH(A9,'Matérias-Primas'!$A$5:$A$45,0)),0))</f>
        <v>20</v>
      </c>
      <c r="F9" s="20" t="n">
        <f aca="false">IF(A9="",0,C9*IFERROR(INDEX('Matérias-Primas'!$G$5:$G$45,MATCH(A9,'Matérias-Primas'!$A$5:$A$45,0)),0))</f>
        <v>0</v>
      </c>
      <c r="G9" s="20" t="n">
        <f aca="false">IF(A9="",0,C9*IFERROR(INDEX('Matérias-Primas'!$H$5:$H$45,MATCH(A9,'Matérias-Primas'!$A$5:$A$45,0)),0))</f>
        <v>0</v>
      </c>
      <c r="H9" s="20" t="n">
        <f aca="false">IF(A9="",0,C9*IFERROR(INDEX('Matérias-Primas'!$I$5:$I$45,MATCH(A9,'Matérias-Primas'!$A$5:$A$45,0)),0))</f>
        <v>0</v>
      </c>
      <c r="I9" s="20" t="n">
        <f aca="false">IF(A9="",0,C9*IFERROR(INDEX('Matérias-Primas'!$J$5:$J$45,MATCH(A9,'Matérias-Primas'!$A$5:$A$45,0)),0))</f>
        <v>0</v>
      </c>
      <c r="J9" s="20" t="n">
        <f aca="false">IF(A9="",0,C9*IFERROR(INDEX('Matérias-Primas'!$K$5:$K$45,MATCH(A9,'Matérias-Primas'!$A$5:$A$45,0)),0))</f>
        <v>0</v>
      </c>
      <c r="K9" s="20" t="n">
        <f aca="false">IF(A9="",0,C9*IFERROR(INDEX('Matérias-Primas'!$L$5:$L$45,MATCH(A9,'Matérias-Primas'!$A$5:$A$45,0)),0))</f>
        <v>0</v>
      </c>
      <c r="L9" s="20" t="n">
        <f aca="false">IF(A9="",0,C9*IFERROR(INDEX('Matérias-Primas'!$M$5:$M$45,MATCH(A9,'Matérias-Primas'!$A$5:$A$45,0)),0))</f>
        <v>0</v>
      </c>
      <c r="M9" s="20" t="n">
        <f aca="false">IF(A9="",0,C9*IFERROR(INDEX('Matérias-Primas'!$N$5:$N$45,MATCH(A9,'Matérias-Primas'!$A$5:$A$45,0)),0))</f>
        <v>0</v>
      </c>
      <c r="N9" s="20" t="n">
        <f aca="false">IF(A9="",0,C9*IFERROR(INDEX('Matérias-Primas'!$O$5:$O$45,MATCH(A9,'Matérias-Primas'!$A$5:$A$45,0)),0))</f>
        <v>0</v>
      </c>
      <c r="O9" s="20" t="n">
        <f aca="false">IF(A9="",0,C9*IFERROR(INDEX('Matérias-Primas'!$P$5:$P$45,MATCH(A9,'Matérias-Primas'!$A$5:$A$45,0)),0))</f>
        <v>0</v>
      </c>
      <c r="P9" s="20" t="n">
        <f aca="false">IF(A9="",0,C9*IFERROR(INDEX('Matérias-Primas'!$Q$5:$Q$45,MATCH(A9,'Matérias-Primas'!$A$5:$A$45,0)),0))</f>
        <v>0</v>
      </c>
      <c r="Q9" s="20" t="n">
        <f aca="false">IF(A9="",0,C9*IFERROR(INDEX('Matérias-Primas'!$R$5:$R$45,MATCH(A9,'Matérias-Primas'!$A$5:$A$45,0)),0))</f>
        <v>0</v>
      </c>
    </row>
    <row r="10" customFormat="false" ht="15" hidden="false" customHeight="false" outlineLevel="0" collapsed="false">
      <c r="A10" s="13"/>
      <c r="B10" s="15"/>
      <c r="C10" s="18" t="str">
        <f aca="false">IF(B10="","",B10/SUM($B$5:$B$14))</f>
        <v/>
      </c>
      <c r="D10" s="19" t="str">
        <f aca="false">IF(A10="","",IFERROR(INDEX('Matérias-Primas'!$D$5:$D$45,MATCH(A10,'Matérias-Primas'!$A$5:$A$45,0)),0))</f>
        <v/>
      </c>
      <c r="E10" s="20" t="n">
        <f aca="false">IF(A10="",0,C10*IFERROR(INDEX('Matérias-Primas'!$F$5:$F$45,MATCH(A10,'Matérias-Primas'!$A$5:$A$45,0)),0))</f>
        <v>0</v>
      </c>
      <c r="F10" s="20" t="n">
        <f aca="false">IF(A10="",0,C10*IFERROR(INDEX('Matérias-Primas'!$G$5:$G$45,MATCH(A10,'Matérias-Primas'!$A$5:$A$45,0)),0))</f>
        <v>0</v>
      </c>
      <c r="G10" s="20" t="n">
        <f aca="false">IF(A10="",0,C10*IFERROR(INDEX('Matérias-Primas'!$H$5:$H$45,MATCH(A10,'Matérias-Primas'!$A$5:$A$45,0)),0))</f>
        <v>0</v>
      </c>
      <c r="H10" s="20" t="n">
        <f aca="false">IF(A10="",0,C10*IFERROR(INDEX('Matérias-Primas'!$I$5:$I$45,MATCH(A10,'Matérias-Primas'!$A$5:$A$45,0)),0))</f>
        <v>0</v>
      </c>
      <c r="I10" s="20" t="n">
        <f aca="false">IF(A10="",0,C10*IFERROR(INDEX('Matérias-Primas'!$J$5:$J$45,MATCH(A10,'Matérias-Primas'!$A$5:$A$45,0)),0))</f>
        <v>0</v>
      </c>
      <c r="J10" s="20" t="n">
        <f aca="false">IF(A10="",0,C10*IFERROR(INDEX('Matérias-Primas'!$K$5:$K$45,MATCH(A10,'Matérias-Primas'!$A$5:$A$45,0)),0))</f>
        <v>0</v>
      </c>
      <c r="K10" s="20" t="n">
        <f aca="false">IF(A10="",0,C10*IFERROR(INDEX('Matérias-Primas'!$L$5:$L$45,MATCH(A10,'Matérias-Primas'!$A$5:$A$45,0)),0))</f>
        <v>0</v>
      </c>
      <c r="L10" s="20" t="n">
        <f aca="false">IF(A10="",0,C10*IFERROR(INDEX('Matérias-Primas'!$M$5:$M$45,MATCH(A10,'Matérias-Primas'!$A$5:$A$45,0)),0))</f>
        <v>0</v>
      </c>
      <c r="M10" s="20" t="n">
        <f aca="false">IF(A10="",0,C10*IFERROR(INDEX('Matérias-Primas'!$N$5:$N$45,MATCH(A10,'Matérias-Primas'!$A$5:$A$45,0)),0))</f>
        <v>0</v>
      </c>
      <c r="N10" s="20" t="n">
        <f aca="false">IF(A10="",0,C10*IFERROR(INDEX('Matérias-Primas'!$O$5:$O$45,MATCH(A10,'Matérias-Primas'!$A$5:$A$45,0)),0))</f>
        <v>0</v>
      </c>
      <c r="O10" s="20" t="n">
        <f aca="false">IF(A10="",0,C10*IFERROR(INDEX('Matérias-Primas'!$P$5:$P$45,MATCH(A10,'Matérias-Primas'!$A$5:$A$45,0)),0))</f>
        <v>0</v>
      </c>
      <c r="P10" s="20" t="n">
        <f aca="false">IF(A10="",0,C10*IFERROR(INDEX('Matérias-Primas'!$Q$5:$Q$45,MATCH(A10,'Matérias-Primas'!$A$5:$A$45,0)),0))</f>
        <v>0</v>
      </c>
      <c r="Q10" s="20" t="n">
        <f aca="false">IF(A10="",0,C10*IFERROR(INDEX('Matérias-Primas'!$R$5:$R$45,MATCH(A10,'Matérias-Primas'!$A$5:$A$45,0)),0))</f>
        <v>0</v>
      </c>
    </row>
    <row r="11" customFormat="false" ht="15" hidden="false" customHeight="false" outlineLevel="0" collapsed="false">
      <c r="A11" s="13"/>
      <c r="B11" s="15"/>
      <c r="C11" s="18" t="str">
        <f aca="false">IF(B11="","",B11/SUM($B$5:$B$14))</f>
        <v/>
      </c>
      <c r="D11" s="19" t="str">
        <f aca="false">IF(A11="","",IFERROR(INDEX('Matérias-Primas'!$D$5:$D$45,MATCH(A11,'Matérias-Primas'!$A$5:$A$45,0)),0))</f>
        <v/>
      </c>
      <c r="E11" s="20" t="n">
        <f aca="false">IF(A11="",0,C11*IFERROR(INDEX('Matérias-Primas'!$F$5:$F$45,MATCH(A11,'Matérias-Primas'!$A$5:$A$45,0)),0))</f>
        <v>0</v>
      </c>
      <c r="F11" s="20" t="n">
        <f aca="false">IF(A11="",0,C11*IFERROR(INDEX('Matérias-Primas'!$G$5:$G$45,MATCH(A11,'Matérias-Primas'!$A$5:$A$45,0)),0))</f>
        <v>0</v>
      </c>
      <c r="G11" s="20" t="n">
        <f aca="false">IF(A11="",0,C11*IFERROR(INDEX('Matérias-Primas'!$H$5:$H$45,MATCH(A11,'Matérias-Primas'!$A$5:$A$45,0)),0))</f>
        <v>0</v>
      </c>
      <c r="H11" s="20" t="n">
        <f aca="false">IF(A11="",0,C11*IFERROR(INDEX('Matérias-Primas'!$I$5:$I$45,MATCH(A11,'Matérias-Primas'!$A$5:$A$45,0)),0))</f>
        <v>0</v>
      </c>
      <c r="I11" s="20" t="n">
        <f aca="false">IF(A11="",0,C11*IFERROR(INDEX('Matérias-Primas'!$J$5:$J$45,MATCH(A11,'Matérias-Primas'!$A$5:$A$45,0)),0))</f>
        <v>0</v>
      </c>
      <c r="J11" s="20" t="n">
        <f aca="false">IF(A11="",0,C11*IFERROR(INDEX('Matérias-Primas'!$K$5:$K$45,MATCH(A11,'Matérias-Primas'!$A$5:$A$45,0)),0))</f>
        <v>0</v>
      </c>
      <c r="K11" s="20" t="n">
        <f aca="false">IF(A11="",0,C11*IFERROR(INDEX('Matérias-Primas'!$L$5:$L$45,MATCH(A11,'Matérias-Primas'!$A$5:$A$45,0)),0))</f>
        <v>0</v>
      </c>
      <c r="L11" s="20" t="n">
        <f aca="false">IF(A11="",0,C11*IFERROR(INDEX('Matérias-Primas'!$M$5:$M$45,MATCH(A11,'Matérias-Primas'!$A$5:$A$45,0)),0))</f>
        <v>0</v>
      </c>
      <c r="M11" s="20" t="n">
        <f aca="false">IF(A11="",0,C11*IFERROR(INDEX('Matérias-Primas'!$N$5:$N$45,MATCH(A11,'Matérias-Primas'!$A$5:$A$45,0)),0))</f>
        <v>0</v>
      </c>
      <c r="N11" s="20" t="n">
        <f aca="false">IF(A11="",0,C11*IFERROR(INDEX('Matérias-Primas'!$O$5:$O$45,MATCH(A11,'Matérias-Primas'!$A$5:$A$45,0)),0))</f>
        <v>0</v>
      </c>
      <c r="O11" s="20" t="n">
        <f aca="false">IF(A11="",0,C11*IFERROR(INDEX('Matérias-Primas'!$P$5:$P$45,MATCH(A11,'Matérias-Primas'!$A$5:$A$45,0)),0))</f>
        <v>0</v>
      </c>
      <c r="P11" s="20" t="n">
        <f aca="false">IF(A11="",0,C11*IFERROR(INDEX('Matérias-Primas'!$Q$5:$Q$45,MATCH(A11,'Matérias-Primas'!$A$5:$A$45,0)),0))</f>
        <v>0</v>
      </c>
      <c r="Q11" s="20" t="n">
        <f aca="false">IF(A11="",0,C11*IFERROR(INDEX('Matérias-Primas'!$R$5:$R$45,MATCH(A11,'Matérias-Primas'!$A$5:$A$45,0)),0))</f>
        <v>0</v>
      </c>
    </row>
    <row r="12" customFormat="false" ht="15" hidden="false" customHeight="false" outlineLevel="0" collapsed="false">
      <c r="A12" s="13"/>
      <c r="B12" s="15"/>
      <c r="C12" s="18" t="str">
        <f aca="false">IF(B12="","",B12/SUM($B$5:$B$14))</f>
        <v/>
      </c>
      <c r="D12" s="19" t="str">
        <f aca="false">IF(A12="","",IFERROR(INDEX('Matérias-Primas'!$D$5:$D$45,MATCH(A12,'Matérias-Primas'!$A$5:$A$45,0)),0))</f>
        <v/>
      </c>
      <c r="E12" s="20" t="n">
        <f aca="false">IF(A12="",0,C12*IFERROR(INDEX('Matérias-Primas'!$F$5:$F$45,MATCH(A12,'Matérias-Primas'!$A$5:$A$45,0)),0))</f>
        <v>0</v>
      </c>
      <c r="F12" s="20" t="n">
        <f aca="false">IF(A12="",0,C12*IFERROR(INDEX('Matérias-Primas'!$G$5:$G$45,MATCH(A12,'Matérias-Primas'!$A$5:$A$45,0)),0))</f>
        <v>0</v>
      </c>
      <c r="G12" s="20" t="n">
        <f aca="false">IF(A12="",0,C12*IFERROR(INDEX('Matérias-Primas'!$H$5:$H$45,MATCH(A12,'Matérias-Primas'!$A$5:$A$45,0)),0))</f>
        <v>0</v>
      </c>
      <c r="H12" s="20" t="n">
        <f aca="false">IF(A12="",0,C12*IFERROR(INDEX('Matérias-Primas'!$I$5:$I$45,MATCH(A12,'Matérias-Primas'!$A$5:$A$45,0)),0))</f>
        <v>0</v>
      </c>
      <c r="I12" s="20" t="n">
        <f aca="false">IF(A12="",0,C12*IFERROR(INDEX('Matérias-Primas'!$J$5:$J$45,MATCH(A12,'Matérias-Primas'!$A$5:$A$45,0)),0))</f>
        <v>0</v>
      </c>
      <c r="J12" s="20" t="n">
        <f aca="false">IF(A12="",0,C12*IFERROR(INDEX('Matérias-Primas'!$K$5:$K$45,MATCH(A12,'Matérias-Primas'!$A$5:$A$45,0)),0))</f>
        <v>0</v>
      </c>
      <c r="K12" s="20" t="n">
        <f aca="false">IF(A12="",0,C12*IFERROR(INDEX('Matérias-Primas'!$L$5:$L$45,MATCH(A12,'Matérias-Primas'!$A$5:$A$45,0)),0))</f>
        <v>0</v>
      </c>
      <c r="L12" s="20" t="n">
        <f aca="false">IF(A12="",0,C12*IFERROR(INDEX('Matérias-Primas'!$M$5:$M$45,MATCH(A12,'Matérias-Primas'!$A$5:$A$45,0)),0))</f>
        <v>0</v>
      </c>
      <c r="M12" s="20" t="n">
        <f aca="false">IF(A12="",0,C12*IFERROR(INDEX('Matérias-Primas'!$N$5:$N$45,MATCH(A12,'Matérias-Primas'!$A$5:$A$45,0)),0))</f>
        <v>0</v>
      </c>
      <c r="N12" s="20" t="n">
        <f aca="false">IF(A12="",0,C12*IFERROR(INDEX('Matérias-Primas'!$O$5:$O$45,MATCH(A12,'Matérias-Primas'!$A$5:$A$45,0)),0))</f>
        <v>0</v>
      </c>
      <c r="O12" s="20" t="n">
        <f aca="false">IF(A12="",0,C12*IFERROR(INDEX('Matérias-Primas'!$P$5:$P$45,MATCH(A12,'Matérias-Primas'!$A$5:$A$45,0)),0))</f>
        <v>0</v>
      </c>
      <c r="P12" s="20" t="n">
        <f aca="false">IF(A12="",0,C12*IFERROR(INDEX('Matérias-Primas'!$Q$5:$Q$45,MATCH(A12,'Matérias-Primas'!$A$5:$A$45,0)),0))</f>
        <v>0</v>
      </c>
      <c r="Q12" s="20" t="n">
        <f aca="false">IF(A12="",0,C12*IFERROR(INDEX('Matérias-Primas'!$R$5:$R$45,MATCH(A12,'Matérias-Primas'!$A$5:$A$45,0)),0))</f>
        <v>0</v>
      </c>
    </row>
    <row r="13" customFormat="false" ht="15" hidden="false" customHeight="false" outlineLevel="0" collapsed="false">
      <c r="A13" s="13"/>
      <c r="B13" s="15"/>
      <c r="C13" s="18" t="str">
        <f aca="false">IF(B13="","",B13/SUM($B$5:$B$14))</f>
        <v/>
      </c>
      <c r="D13" s="19" t="str">
        <f aca="false">IF(A13="","",IFERROR(INDEX('Matérias-Primas'!$D$5:$D$45,MATCH(A13,'Matérias-Primas'!$A$5:$A$45,0)),0))</f>
        <v/>
      </c>
      <c r="E13" s="20" t="n">
        <f aca="false">IF(A13="",0,C13*IFERROR(INDEX('Matérias-Primas'!$F$5:$F$45,MATCH(A13,'Matérias-Primas'!$A$5:$A$45,0)),0))</f>
        <v>0</v>
      </c>
      <c r="F13" s="20" t="n">
        <f aca="false">IF(A13="",0,C13*IFERROR(INDEX('Matérias-Primas'!$G$5:$G$45,MATCH(A13,'Matérias-Primas'!$A$5:$A$45,0)),0))</f>
        <v>0</v>
      </c>
      <c r="G13" s="20" t="n">
        <f aca="false">IF(A13="",0,C13*IFERROR(INDEX('Matérias-Primas'!$H$5:$H$45,MATCH(A13,'Matérias-Primas'!$A$5:$A$45,0)),0))</f>
        <v>0</v>
      </c>
      <c r="H13" s="20" t="n">
        <f aca="false">IF(A13="",0,C13*IFERROR(INDEX('Matérias-Primas'!$I$5:$I$45,MATCH(A13,'Matérias-Primas'!$A$5:$A$45,0)),0))</f>
        <v>0</v>
      </c>
      <c r="I13" s="20" t="n">
        <f aca="false">IF(A13="",0,C13*IFERROR(INDEX('Matérias-Primas'!$J$5:$J$45,MATCH(A13,'Matérias-Primas'!$A$5:$A$45,0)),0))</f>
        <v>0</v>
      </c>
      <c r="J13" s="20" t="n">
        <f aca="false">IF(A13="",0,C13*IFERROR(INDEX('Matérias-Primas'!$K$5:$K$45,MATCH(A13,'Matérias-Primas'!$A$5:$A$45,0)),0))</f>
        <v>0</v>
      </c>
      <c r="K13" s="20" t="n">
        <f aca="false">IF(A13="",0,C13*IFERROR(INDEX('Matérias-Primas'!$L$5:$L$45,MATCH(A13,'Matérias-Primas'!$A$5:$A$45,0)),0))</f>
        <v>0</v>
      </c>
      <c r="L13" s="20" t="n">
        <f aca="false">IF(A13="",0,C13*IFERROR(INDEX('Matérias-Primas'!$M$5:$M$45,MATCH(A13,'Matérias-Primas'!$A$5:$A$45,0)),0))</f>
        <v>0</v>
      </c>
      <c r="M13" s="20" t="n">
        <f aca="false">IF(A13="",0,C13*IFERROR(INDEX('Matérias-Primas'!$N$5:$N$45,MATCH(A13,'Matérias-Primas'!$A$5:$A$45,0)),0))</f>
        <v>0</v>
      </c>
      <c r="N13" s="20" t="n">
        <f aca="false">IF(A13="",0,C13*IFERROR(INDEX('Matérias-Primas'!$O$5:$O$45,MATCH(A13,'Matérias-Primas'!$A$5:$A$45,0)),0))</f>
        <v>0</v>
      </c>
      <c r="O13" s="20" t="n">
        <f aca="false">IF(A13="",0,C13*IFERROR(INDEX('Matérias-Primas'!$P$5:$P$45,MATCH(A13,'Matérias-Primas'!$A$5:$A$45,0)),0))</f>
        <v>0</v>
      </c>
      <c r="P13" s="20" t="n">
        <f aca="false">IF(A13="",0,C13*IFERROR(INDEX('Matérias-Primas'!$Q$5:$Q$45,MATCH(A13,'Matérias-Primas'!$A$5:$A$45,0)),0))</f>
        <v>0</v>
      </c>
      <c r="Q13" s="20" t="n">
        <f aca="false">IF(A13="",0,C13*IFERROR(INDEX('Matérias-Primas'!$R$5:$R$45,MATCH(A13,'Matérias-Primas'!$A$5:$A$45,0)),0))</f>
        <v>0</v>
      </c>
    </row>
    <row r="14" customFormat="false" ht="15" hidden="false" customHeight="false" outlineLevel="0" collapsed="false">
      <c r="A14" s="13"/>
      <c r="B14" s="15"/>
      <c r="C14" s="18" t="str">
        <f aca="false">IF(B14="","",B14/SUM($B$5:$B$14))</f>
        <v/>
      </c>
      <c r="D14" s="19" t="str">
        <f aca="false">IF(A14="","",IFERROR(INDEX('Matérias-Primas'!$D$5:$D$45,MATCH(A14,'Matérias-Primas'!$A$5:$A$45,0)),0))</f>
        <v/>
      </c>
      <c r="E14" s="20" t="n">
        <f aca="false">IF(A14="",0,C14*IFERROR(INDEX('Matérias-Primas'!$F$5:$F$45,MATCH(A14,'Matérias-Primas'!$A$5:$A$45,0)),0))</f>
        <v>0</v>
      </c>
      <c r="F14" s="20" t="n">
        <f aca="false">IF(A14="",0,C14*IFERROR(INDEX('Matérias-Primas'!$G$5:$G$45,MATCH(A14,'Matérias-Primas'!$A$5:$A$45,0)),0))</f>
        <v>0</v>
      </c>
      <c r="G14" s="20" t="n">
        <f aca="false">IF(A14="",0,C14*IFERROR(INDEX('Matérias-Primas'!$H$5:$H$45,MATCH(A14,'Matérias-Primas'!$A$5:$A$45,0)),0))</f>
        <v>0</v>
      </c>
      <c r="H14" s="20" t="n">
        <f aca="false">IF(A14="",0,C14*IFERROR(INDEX('Matérias-Primas'!$I$5:$I$45,MATCH(A14,'Matérias-Primas'!$A$5:$A$45,0)),0))</f>
        <v>0</v>
      </c>
      <c r="I14" s="20" t="n">
        <f aca="false">IF(A14="",0,C14*IFERROR(INDEX('Matérias-Primas'!$J$5:$J$45,MATCH(A14,'Matérias-Primas'!$A$5:$A$45,0)),0))</f>
        <v>0</v>
      </c>
      <c r="J14" s="20" t="n">
        <f aca="false">IF(A14="",0,C14*IFERROR(INDEX('Matérias-Primas'!$K$5:$K$45,MATCH(A14,'Matérias-Primas'!$A$5:$A$45,0)),0))</f>
        <v>0</v>
      </c>
      <c r="K14" s="20" t="n">
        <f aca="false">IF(A14="",0,C14*IFERROR(INDEX('Matérias-Primas'!$L$5:$L$45,MATCH(A14,'Matérias-Primas'!$A$5:$A$45,0)),0))</f>
        <v>0</v>
      </c>
      <c r="L14" s="20" t="n">
        <f aca="false">IF(A14="",0,C14*IFERROR(INDEX('Matérias-Primas'!$M$5:$M$45,MATCH(A14,'Matérias-Primas'!$A$5:$A$45,0)),0))</f>
        <v>0</v>
      </c>
      <c r="M14" s="20" t="n">
        <f aca="false">IF(A14="",0,C14*IFERROR(INDEX('Matérias-Primas'!$N$5:$N$45,MATCH(A14,'Matérias-Primas'!$A$5:$A$45,0)),0))</f>
        <v>0</v>
      </c>
      <c r="N14" s="20" t="n">
        <f aca="false">IF(A14="",0,C14*IFERROR(INDEX('Matérias-Primas'!$O$5:$O$45,MATCH(A14,'Matérias-Primas'!$A$5:$A$45,0)),0))</f>
        <v>0</v>
      </c>
      <c r="O14" s="20" t="n">
        <f aca="false">IF(A14="",0,C14*IFERROR(INDEX('Matérias-Primas'!$P$5:$P$45,MATCH(A14,'Matérias-Primas'!$A$5:$A$45,0)),0))</f>
        <v>0</v>
      </c>
      <c r="P14" s="20" t="n">
        <f aca="false">IF(A14="",0,C14*IFERROR(INDEX('Matérias-Primas'!$Q$5:$Q$45,MATCH(A14,'Matérias-Primas'!$A$5:$A$45,0)),0))</f>
        <v>0</v>
      </c>
      <c r="Q14" s="20" t="n">
        <f aca="false">IF(A14="",0,C14*IFERROR(INDEX('Matérias-Primas'!$R$5:$R$45,MATCH(A14,'Matérias-Primas'!$A$5:$A$45,0)),0))</f>
        <v>0</v>
      </c>
    </row>
    <row r="15" customFormat="false" ht="15" hidden="false" customHeight="false" outlineLevel="0" collapsed="false">
      <c r="A15" s="5" t="s">
        <v>123</v>
      </c>
      <c r="B15" s="21" t="n">
        <f aca="false">SUM(B5:B14)</f>
        <v>100</v>
      </c>
      <c r="C15" s="22" t="n">
        <f aca="false">SUM(C5:C14)</f>
        <v>1</v>
      </c>
      <c r="D15" s="2"/>
      <c r="E15" s="23" t="n">
        <f aca="false">SUM(E5:E14)</f>
        <v>62.34</v>
      </c>
      <c r="F15" s="23" t="n">
        <f aca="false">SUM(F5:F14)</f>
        <v>11.6</v>
      </c>
      <c r="G15" s="23" t="n">
        <f aca="false">SUM(G5:G14)</f>
        <v>4.62</v>
      </c>
      <c r="H15" s="23" t="n">
        <f aca="false">SUM(H5:H14)</f>
        <v>2.66</v>
      </c>
      <c r="I15" s="23" t="n">
        <f aca="false">SUM(I5:I14)</f>
        <v>2.2</v>
      </c>
      <c r="J15" s="23" t="n">
        <f aca="false">SUM(J5:J14)</f>
        <v>0</v>
      </c>
      <c r="K15" s="23" t="n">
        <f aca="false">SUM(K5:K14)</f>
        <v>13.72</v>
      </c>
      <c r="L15" s="23" t="n">
        <f aca="false">SUM(L5:L14)</f>
        <v>0</v>
      </c>
      <c r="M15" s="23" t="n">
        <f aca="false">SUM(M5:M14)</f>
        <v>0</v>
      </c>
      <c r="N15" s="23" t="n">
        <f aca="false">SUM(N5:N14)</f>
        <v>0</v>
      </c>
      <c r="O15" s="23" t="n">
        <f aca="false">SUM(O5:O14)</f>
        <v>0</v>
      </c>
      <c r="P15" s="23" t="n">
        <f aca="false">SUM(P5:P14)</f>
        <v>0.04</v>
      </c>
      <c r="Q15" s="23" t="n">
        <f aca="false">SUM(Q5:Q14)</f>
        <v>0</v>
      </c>
    </row>
    <row r="16" customFormat="false" ht="15" hidden="false" customHeight="false" outlineLevel="0" collapsed="false">
      <c r="A16" s="5" t="s">
        <v>124</v>
      </c>
      <c r="B16" s="2"/>
      <c r="C16" s="2"/>
      <c r="D16" s="2"/>
      <c r="E16" s="24" t="n">
        <f aca="false">'Matérias-Primas'!F3</f>
        <v>60.08</v>
      </c>
      <c r="F16" s="24" t="n">
        <f aca="false">'Matérias-Primas'!G3</f>
        <v>101.96</v>
      </c>
      <c r="G16" s="24" t="n">
        <f aca="false">'Matérias-Primas'!H3</f>
        <v>69.62</v>
      </c>
      <c r="H16" s="24" t="n">
        <f aca="false">'Matérias-Primas'!I3</f>
        <v>61.98</v>
      </c>
      <c r="I16" s="24" t="n">
        <f aca="false">'Matérias-Primas'!J3</f>
        <v>94.2</v>
      </c>
      <c r="J16" s="24" t="n">
        <f aca="false">'Matérias-Primas'!K3</f>
        <v>29.88</v>
      </c>
      <c r="K16" s="24" t="n">
        <f aca="false">'Matérias-Primas'!L3</f>
        <v>56.08</v>
      </c>
      <c r="L16" s="24" t="n">
        <f aca="false">'Matérias-Primas'!M3</f>
        <v>40.3</v>
      </c>
      <c r="M16" s="24" t="n">
        <f aca="false">'Matérias-Primas'!N3</f>
        <v>103.62</v>
      </c>
      <c r="N16" s="24" t="n">
        <f aca="false">'Matérias-Primas'!O3</f>
        <v>81.38</v>
      </c>
      <c r="O16" s="24" t="n">
        <f aca="false">'Matérias-Primas'!P3</f>
        <v>123.22</v>
      </c>
      <c r="P16" s="24" t="n">
        <f aca="false">'Matérias-Primas'!Q3</f>
        <v>159.69</v>
      </c>
      <c r="Q16" s="24" t="n">
        <f aca="false">'Matérias-Primas'!R3</f>
        <v>79.87</v>
      </c>
    </row>
    <row r="17" customFormat="false" ht="15" hidden="false" customHeight="false" outlineLevel="0" collapsed="false">
      <c r="A17" s="5" t="s">
        <v>125</v>
      </c>
      <c r="B17" s="2"/>
      <c r="C17" s="3" t="s">
        <v>126</v>
      </c>
      <c r="D17" s="25" t="n">
        <f aca="false">H17+I17+J17+K17+L17+M17+N17</f>
        <v>0.31092213406516</v>
      </c>
      <c r="E17" s="25" t="n">
        <f aca="false">E15/E16</f>
        <v>1.03761651131824</v>
      </c>
      <c r="F17" s="25" t="n">
        <f aca="false">F15/F16</f>
        <v>0.113770105923892</v>
      </c>
      <c r="G17" s="25" t="n">
        <f aca="false">G15/G16</f>
        <v>0.0663602413099684</v>
      </c>
      <c r="H17" s="25" t="n">
        <f aca="false">H15/H16</f>
        <v>0.0429170700225879</v>
      </c>
      <c r="I17" s="25" t="n">
        <f aca="false">I15/I16</f>
        <v>0.0233545647558386</v>
      </c>
      <c r="J17" s="25" t="n">
        <f aca="false">J15/J16</f>
        <v>0</v>
      </c>
      <c r="K17" s="25" t="n">
        <f aca="false">K15/K16</f>
        <v>0.244650499286733</v>
      </c>
      <c r="L17" s="25" t="n">
        <f aca="false">L15/L16</f>
        <v>0</v>
      </c>
      <c r="M17" s="25" t="n">
        <f aca="false">M15/M16</f>
        <v>0</v>
      </c>
      <c r="N17" s="25" t="n">
        <f aca="false">N15/N16</f>
        <v>0</v>
      </c>
      <c r="O17" s="25" t="n">
        <f aca="false">O15/O16</f>
        <v>0</v>
      </c>
      <c r="P17" s="25" t="n">
        <f aca="false">P15/P16</f>
        <v>0.000250485315298391</v>
      </c>
      <c r="Q17" s="25" t="n">
        <f aca="false">Q15/Q16</f>
        <v>0</v>
      </c>
    </row>
    <row r="18" customFormat="false" ht="15" hidden="false" customHeight="false" outlineLevel="0" collapsed="false">
      <c r="A18" s="5" t="s">
        <v>127</v>
      </c>
      <c r="B18" s="2"/>
      <c r="C18" s="2"/>
      <c r="D18" s="2"/>
      <c r="E18" s="26" t="n">
        <f aca="false">IF($D$17=0,0,E17/$D$17)</f>
        <v>3.33722304601444</v>
      </c>
      <c r="F18" s="26" t="n">
        <f aca="false">IF($D$17=0,0,F17/$D$17)</f>
        <v>0.365911890660216</v>
      </c>
      <c r="G18" s="26" t="n">
        <f aca="false">IF($D$17=0,0,G17/$D$17)</f>
        <v>0.213430418871566</v>
      </c>
      <c r="H18" s="26" t="n">
        <f aca="false">IF($D$17=0,0,H17/$D$17)</f>
        <v>0.138031569066723</v>
      </c>
      <c r="I18" s="26" t="n">
        <f aca="false">IF($D$17=0,0,I17/$D$17)</f>
        <v>0.0751138699921063</v>
      </c>
      <c r="J18" s="26" t="n">
        <f aca="false">IF($D$17=0,0,J17/$D$17)</f>
        <v>0</v>
      </c>
      <c r="K18" s="26" t="n">
        <f aca="false">IF($D$17=0,0,K17/$D$17)</f>
        <v>0.786854560941171</v>
      </c>
      <c r="L18" s="26" t="n">
        <f aca="false">IF($D$17=0,0,L17/$D$17)</f>
        <v>0</v>
      </c>
      <c r="M18" s="26" t="n">
        <f aca="false">IF($D$17=0,0,M17/$D$17)</f>
        <v>0</v>
      </c>
      <c r="N18" s="26" t="n">
        <f aca="false">IF($D$17=0,0,N17/$D$17)</f>
        <v>0</v>
      </c>
      <c r="O18" s="26" t="n">
        <f aca="false">IF($D$17=0,0,O17/$D$17)</f>
        <v>0</v>
      </c>
      <c r="P18" s="26" t="n">
        <f aca="false">IF($D$17=0,0,P17/$D$17)</f>
        <v>0.000805620725753467</v>
      </c>
      <c r="Q18" s="26" t="n">
        <f aca="false">IF($D$17=0,0,Q17/$D$17)</f>
        <v>0</v>
      </c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customFormat="false" ht="15" hidden="false" customHeight="false" outlineLevel="0" collapsed="false">
      <c r="A20" s="4" t="s">
        <v>128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customFormat="false" ht="15" hidden="false" customHeight="false" outlineLevel="0" collapsed="false">
      <c r="A21" s="12" t="s">
        <v>129</v>
      </c>
      <c r="B21" s="12" t="s">
        <v>130</v>
      </c>
      <c r="C21" s="12" t="s">
        <v>131</v>
      </c>
      <c r="D21" s="12" t="s">
        <v>132</v>
      </c>
      <c r="E21" s="12" t="s">
        <v>133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customFormat="false" ht="15" hidden="false" customHeight="false" outlineLevel="0" collapsed="false">
      <c r="A22" s="27" t="s">
        <v>134</v>
      </c>
      <c r="B22" s="28" t="n">
        <f aca="false">E18</f>
        <v>3.33722304601444</v>
      </c>
      <c r="C22" s="29" t="n">
        <v>3</v>
      </c>
      <c r="D22" s="29" t="n">
        <v>4</v>
      </c>
      <c r="E22" s="30" t="str">
        <f aca="false">IF(AND(B22&gt;=C22,B22&lt;=D22),"OK","Ajustar")</f>
        <v>OK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customFormat="false" ht="15" hidden="false" customHeight="false" outlineLevel="0" collapsed="false">
      <c r="A23" s="27" t="s">
        <v>135</v>
      </c>
      <c r="B23" s="28" t="n">
        <f aca="false">F18</f>
        <v>0.365911890660216</v>
      </c>
      <c r="C23" s="29" t="n">
        <v>0.3</v>
      </c>
      <c r="D23" s="29" t="n">
        <v>0.4</v>
      </c>
      <c r="E23" s="30" t="str">
        <f aca="false">IF(AND(B23&gt;=C23,B23&lt;=D23),"OK","Ajustar")</f>
        <v>OK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customFormat="false" ht="15" hidden="false" customHeight="false" outlineLevel="0" collapsed="false">
      <c r="A24" s="27" t="s">
        <v>136</v>
      </c>
      <c r="B24" s="28" t="n">
        <f aca="false">G18</f>
        <v>0.213430418871566</v>
      </c>
      <c r="C24" s="29" t="n">
        <v>0.1</v>
      </c>
      <c r="D24" s="29" t="n">
        <v>0.3</v>
      </c>
      <c r="E24" s="30" t="str">
        <f aca="false">IF(AND(B24&gt;=C24,B24&lt;=D24),"OK","Ajustar")</f>
        <v>OK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customFormat="false" ht="15" hidden="false" customHeight="false" outlineLevel="0" collapsed="false">
      <c r="A25" s="27" t="s">
        <v>137</v>
      </c>
      <c r="B25" s="28" t="n">
        <f aca="false">IF(F18=0,0,E18/F18)</f>
        <v>9.12029133569035</v>
      </c>
      <c r="C25" s="29" t="n">
        <v>8</v>
      </c>
      <c r="D25" s="29" t="n">
        <v>10</v>
      </c>
      <c r="E25" s="30" t="str">
        <f aca="false">IF(AND(B25&gt;=C25,B25&lt;=D25),"OK","Ajustar")</f>
        <v>OK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customFormat="false" ht="15" hidden="false" customHeight="false" outlineLevel="0" collapsed="false">
      <c r="A27" s="5" t="s">
        <v>138</v>
      </c>
      <c r="B27" s="31" t="n">
        <f aca="false">SUMPRODUCT(C5:C14,D5:D14)</f>
        <v>6.2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customFormat="false" ht="15" hidden="false" customHeight="false" outlineLevel="0" collapsed="false">
      <c r="A28" s="3" t="s">
        <v>139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</sheetData>
  <conditionalFormatting sqref="E22:E25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"Ajustar"</formula>
    </cfRule>
  </conditionalFormatting>
  <dataValidations count="1">
    <dataValidation allowBlank="true" errorStyle="stop" operator="between" showDropDown="false" showErrorMessage="false" showInputMessage="false" sqref="A5:A14" type="list">
      <formula1>'Matérias-Primas'!$A$5:$A$45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7" min="2" style="0" width="11"/>
  </cols>
  <sheetData>
    <row r="1" customFormat="false" ht="17.35" hidden="false" customHeight="false" outlineLevel="0" collapsed="false">
      <c r="A1" s="1" t="s">
        <v>140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false" outlineLevel="0" collapsed="false">
      <c r="A2" s="3" t="s">
        <v>141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2"/>
      <c r="B3" s="2"/>
      <c r="C3" s="2"/>
      <c r="D3" s="2"/>
      <c r="E3" s="3" t="s">
        <v>107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35.05" hidden="false" customHeight="false" outlineLevel="0" collapsed="false">
      <c r="A4" s="12" t="s">
        <v>40</v>
      </c>
      <c r="B4" s="12" t="s">
        <v>108</v>
      </c>
      <c r="C4" s="12" t="s">
        <v>109</v>
      </c>
      <c r="D4" s="12" t="s">
        <v>43</v>
      </c>
      <c r="E4" s="12" t="s">
        <v>110</v>
      </c>
      <c r="F4" s="12" t="s">
        <v>111</v>
      </c>
      <c r="G4" s="12" t="s">
        <v>112</v>
      </c>
      <c r="H4" s="12" t="s">
        <v>113</v>
      </c>
      <c r="I4" s="12" t="s">
        <v>114</v>
      </c>
      <c r="J4" s="12" t="s">
        <v>115</v>
      </c>
      <c r="K4" s="12" t="s">
        <v>116</v>
      </c>
      <c r="L4" s="12" t="s">
        <v>117</v>
      </c>
      <c r="M4" s="12" t="s">
        <v>118</v>
      </c>
      <c r="N4" s="12" t="s">
        <v>119</v>
      </c>
      <c r="O4" s="12" t="s">
        <v>120</v>
      </c>
      <c r="P4" s="12" t="s">
        <v>121</v>
      </c>
      <c r="Q4" s="12" t="s">
        <v>122</v>
      </c>
    </row>
    <row r="5" customFormat="false" ht="15" hidden="false" customHeight="false" outlineLevel="0" collapsed="false">
      <c r="A5" s="13" t="s">
        <v>59</v>
      </c>
      <c r="B5" s="15" t="n">
        <v>30</v>
      </c>
      <c r="C5" s="18" t="n">
        <f aca="false">IF(B5="","",B5/SUM($B$5:$B$14))</f>
        <v>0.3</v>
      </c>
      <c r="D5" s="19" t="n">
        <f aca="false">IF(A5="","",IFERROR(INDEX('Matérias-Primas'!$D$5:$D$45,MATCH(A5,'Matérias-Primas'!$A$5:$A$45,0)),0))</f>
        <v>3.5</v>
      </c>
      <c r="E5" s="20" t="n">
        <f aca="false">IF(A5="",0,C5*IFERROR(INDEX('Matérias-Primas'!$F$5:$F$45,MATCH(A5,'Matérias-Primas'!$A$5:$A$45,0)),0))</f>
        <v>20.1</v>
      </c>
      <c r="F5" s="20" t="n">
        <f aca="false">IF(A5="",0,C5*IFERROR(INDEX('Matérias-Primas'!$G$5:$G$45,MATCH(A5,'Matérias-Primas'!$A$5:$A$45,0)),0))</f>
        <v>5.55</v>
      </c>
      <c r="G5" s="20" t="n">
        <f aca="false">IF(A5="",0,C5*IFERROR(INDEX('Matérias-Primas'!$H$5:$H$45,MATCH(A5,'Matérias-Primas'!$A$5:$A$45,0)),0))</f>
        <v>0</v>
      </c>
      <c r="H5" s="20" t="n">
        <f aca="false">IF(A5="",0,C5*IFERROR(INDEX('Matérias-Primas'!$I$5:$I$45,MATCH(A5,'Matérias-Primas'!$A$5:$A$45,0)),0))</f>
        <v>0.9</v>
      </c>
      <c r="I5" s="20" t="n">
        <f aca="false">IF(A5="",0,C5*IFERROR(INDEX('Matérias-Primas'!$J$5:$J$45,MATCH(A5,'Matérias-Primas'!$A$5:$A$45,0)),0))</f>
        <v>3.3</v>
      </c>
      <c r="J5" s="20" t="n">
        <f aca="false">IF(A5="",0,C5*IFERROR(INDEX('Matérias-Primas'!$K$5:$K$45,MATCH(A5,'Matérias-Primas'!$A$5:$A$45,0)),0))</f>
        <v>0</v>
      </c>
      <c r="K5" s="20" t="n">
        <f aca="false">IF(A5="",0,C5*IFERROR(INDEX('Matérias-Primas'!$L$5:$L$45,MATCH(A5,'Matérias-Primas'!$A$5:$A$45,0)),0))</f>
        <v>0.06</v>
      </c>
      <c r="L5" s="20" t="n">
        <f aca="false">IF(A5="",0,C5*IFERROR(INDEX('Matérias-Primas'!$M$5:$M$45,MATCH(A5,'Matérias-Primas'!$A$5:$A$45,0)),0))</f>
        <v>0</v>
      </c>
      <c r="M5" s="20" t="n">
        <f aca="false">IF(A5="",0,C5*IFERROR(INDEX('Matérias-Primas'!$N$5:$N$45,MATCH(A5,'Matérias-Primas'!$A$5:$A$45,0)),0))</f>
        <v>0</v>
      </c>
      <c r="N5" s="20" t="n">
        <f aca="false">IF(A5="",0,C5*IFERROR(INDEX('Matérias-Primas'!$O$5:$O$45,MATCH(A5,'Matérias-Primas'!$A$5:$A$45,0)),0))</f>
        <v>0</v>
      </c>
      <c r="O5" s="20" t="n">
        <f aca="false">IF(A5="",0,C5*IFERROR(INDEX('Matérias-Primas'!$P$5:$P$45,MATCH(A5,'Matérias-Primas'!$A$5:$A$45,0)),0))</f>
        <v>0</v>
      </c>
      <c r="P5" s="20" t="n">
        <f aca="false">IF(A5="",0,C5*IFERROR(INDEX('Matérias-Primas'!$Q$5:$Q$45,MATCH(A5,'Matérias-Primas'!$A$5:$A$45,0)),0))</f>
        <v>0.03</v>
      </c>
      <c r="Q5" s="20" t="n">
        <f aca="false">IF(A5="",0,C5*IFERROR(INDEX('Matérias-Primas'!$R$5:$R$45,MATCH(A5,'Matérias-Primas'!$A$5:$A$45,0)),0))</f>
        <v>0</v>
      </c>
    </row>
    <row r="6" customFormat="false" ht="15" hidden="false" customHeight="false" outlineLevel="0" collapsed="false">
      <c r="A6" s="13" t="s">
        <v>72</v>
      </c>
      <c r="B6" s="15" t="n">
        <v>12</v>
      </c>
      <c r="C6" s="18" t="n">
        <f aca="false">IF(B6="","",B6/SUM($B$5:$B$14))</f>
        <v>0.12</v>
      </c>
      <c r="D6" s="19" t="n">
        <f aca="false">IF(A6="","",IFERROR(INDEX('Matérias-Primas'!$D$5:$D$45,MATCH(A6,'Matérias-Primas'!$A$5:$A$45,0)),0))</f>
        <v>15</v>
      </c>
      <c r="E6" s="20" t="n">
        <f aca="false">IF(A6="",0,C6*IFERROR(INDEX('Matérias-Primas'!$F$5:$F$45,MATCH(A6,'Matérias-Primas'!$A$5:$A$45,0)),0))</f>
        <v>5.58</v>
      </c>
      <c r="F6" s="20" t="n">
        <f aca="false">IF(A6="",0,C6*IFERROR(INDEX('Matérias-Primas'!$G$5:$G$45,MATCH(A6,'Matérias-Primas'!$A$5:$A$45,0)),0))</f>
        <v>0</v>
      </c>
      <c r="G6" s="20" t="n">
        <f aca="false">IF(A6="",0,C6*IFERROR(INDEX('Matérias-Primas'!$H$5:$H$45,MATCH(A6,'Matérias-Primas'!$A$5:$A$45,0)),0))</f>
        <v>2.772</v>
      </c>
      <c r="H6" s="20" t="n">
        <f aca="false">IF(A6="",0,C6*IFERROR(INDEX('Matérias-Primas'!$I$5:$I$45,MATCH(A6,'Matérias-Primas'!$A$5:$A$45,0)),0))</f>
        <v>1.236</v>
      </c>
      <c r="I6" s="20" t="n">
        <f aca="false">IF(A6="",0,C6*IFERROR(INDEX('Matérias-Primas'!$J$5:$J$45,MATCH(A6,'Matérias-Primas'!$A$5:$A$45,0)),0))</f>
        <v>0</v>
      </c>
      <c r="J6" s="20" t="n">
        <f aca="false">IF(A6="",0,C6*IFERROR(INDEX('Matérias-Primas'!$K$5:$K$45,MATCH(A6,'Matérias-Primas'!$A$5:$A$45,0)),0))</f>
        <v>0</v>
      </c>
      <c r="K6" s="20" t="n">
        <f aca="false">IF(A6="",0,C6*IFERROR(INDEX('Matérias-Primas'!$L$5:$L$45,MATCH(A6,'Matérias-Primas'!$A$5:$A$45,0)),0))</f>
        <v>2.412</v>
      </c>
      <c r="L6" s="20" t="n">
        <f aca="false">IF(A6="",0,C6*IFERROR(INDEX('Matérias-Primas'!$M$5:$M$45,MATCH(A6,'Matérias-Primas'!$A$5:$A$45,0)),0))</f>
        <v>0</v>
      </c>
      <c r="M6" s="20" t="n">
        <f aca="false">IF(A6="",0,C6*IFERROR(INDEX('Matérias-Primas'!$N$5:$N$45,MATCH(A6,'Matérias-Primas'!$A$5:$A$45,0)),0))</f>
        <v>0</v>
      </c>
      <c r="N6" s="20" t="n">
        <f aca="false">IF(A6="",0,C6*IFERROR(INDEX('Matérias-Primas'!$O$5:$O$45,MATCH(A6,'Matérias-Primas'!$A$5:$A$45,0)),0))</f>
        <v>0</v>
      </c>
      <c r="O6" s="20" t="n">
        <f aca="false">IF(A6="",0,C6*IFERROR(INDEX('Matérias-Primas'!$P$5:$P$45,MATCH(A6,'Matérias-Primas'!$A$5:$A$45,0)),0))</f>
        <v>0</v>
      </c>
      <c r="P6" s="20" t="n">
        <f aca="false">IF(A6="",0,C6*IFERROR(INDEX('Matérias-Primas'!$Q$5:$Q$45,MATCH(A6,'Matérias-Primas'!$A$5:$A$45,0)),0))</f>
        <v>0</v>
      </c>
      <c r="Q6" s="20" t="n">
        <f aca="false">IF(A6="",0,C6*IFERROR(INDEX('Matérias-Primas'!$R$5:$R$45,MATCH(A6,'Matérias-Primas'!$A$5:$A$45,0)),0))</f>
        <v>0</v>
      </c>
    </row>
    <row r="7" customFormat="false" ht="15" hidden="false" customHeight="false" outlineLevel="0" collapsed="false">
      <c r="A7" s="13" t="s">
        <v>66</v>
      </c>
      <c r="B7" s="15" t="n">
        <v>22</v>
      </c>
      <c r="C7" s="18" t="n">
        <f aca="false">IF(B7="","",B7/SUM($B$5:$B$14))</f>
        <v>0.22</v>
      </c>
      <c r="D7" s="19" t="n">
        <f aca="false">IF(A7="","",IFERROR(INDEX('Matérias-Primas'!$D$5:$D$45,MATCH(A7,'Matérias-Primas'!$A$5:$A$45,0)),0))</f>
        <v>8</v>
      </c>
      <c r="E7" s="20" t="n">
        <f aca="false">IF(A7="",0,C7*IFERROR(INDEX('Matérias-Primas'!$F$5:$F$45,MATCH(A7,'Matérias-Primas'!$A$5:$A$45,0)),0))</f>
        <v>11.374</v>
      </c>
      <c r="F7" s="20" t="n">
        <f aca="false">IF(A7="",0,C7*IFERROR(INDEX('Matérias-Primas'!$G$5:$G$45,MATCH(A7,'Matérias-Primas'!$A$5:$A$45,0)),0))</f>
        <v>0</v>
      </c>
      <c r="G7" s="20" t="n">
        <f aca="false">IF(A7="",0,C7*IFERROR(INDEX('Matérias-Primas'!$H$5:$H$45,MATCH(A7,'Matérias-Primas'!$A$5:$A$45,0)),0))</f>
        <v>0</v>
      </c>
      <c r="H7" s="20" t="n">
        <f aca="false">IF(A7="",0,C7*IFERROR(INDEX('Matérias-Primas'!$I$5:$I$45,MATCH(A7,'Matérias-Primas'!$A$5:$A$45,0)),0))</f>
        <v>0</v>
      </c>
      <c r="I7" s="20" t="n">
        <f aca="false">IF(A7="",0,C7*IFERROR(INDEX('Matérias-Primas'!$J$5:$J$45,MATCH(A7,'Matérias-Primas'!$A$5:$A$45,0)),0))</f>
        <v>0</v>
      </c>
      <c r="J7" s="20" t="n">
        <f aca="false">IF(A7="",0,C7*IFERROR(INDEX('Matérias-Primas'!$K$5:$K$45,MATCH(A7,'Matérias-Primas'!$A$5:$A$45,0)),0))</f>
        <v>0</v>
      </c>
      <c r="K7" s="20" t="n">
        <f aca="false">IF(A7="",0,C7*IFERROR(INDEX('Matérias-Primas'!$L$5:$L$45,MATCH(A7,'Matérias-Primas'!$A$5:$A$45,0)),0))</f>
        <v>10.626</v>
      </c>
      <c r="L7" s="20" t="n">
        <f aca="false">IF(A7="",0,C7*IFERROR(INDEX('Matérias-Primas'!$M$5:$M$45,MATCH(A7,'Matérias-Primas'!$A$5:$A$45,0)),0))</f>
        <v>0</v>
      </c>
      <c r="M7" s="20" t="n">
        <f aca="false">IF(A7="",0,C7*IFERROR(INDEX('Matérias-Primas'!$N$5:$N$45,MATCH(A7,'Matérias-Primas'!$A$5:$A$45,0)),0))</f>
        <v>0</v>
      </c>
      <c r="N7" s="20" t="n">
        <f aca="false">IF(A7="",0,C7*IFERROR(INDEX('Matérias-Primas'!$O$5:$O$45,MATCH(A7,'Matérias-Primas'!$A$5:$A$45,0)),0))</f>
        <v>0</v>
      </c>
      <c r="O7" s="20" t="n">
        <f aca="false">IF(A7="",0,C7*IFERROR(INDEX('Matérias-Primas'!$P$5:$P$45,MATCH(A7,'Matérias-Primas'!$A$5:$A$45,0)),0))</f>
        <v>0</v>
      </c>
      <c r="P7" s="20" t="n">
        <f aca="false">IF(A7="",0,C7*IFERROR(INDEX('Matérias-Primas'!$Q$5:$Q$45,MATCH(A7,'Matérias-Primas'!$A$5:$A$45,0)),0))</f>
        <v>0</v>
      </c>
      <c r="Q7" s="20" t="n">
        <f aca="false">IF(A7="",0,C7*IFERROR(INDEX('Matérias-Primas'!$R$5:$R$45,MATCH(A7,'Matérias-Primas'!$A$5:$A$45,0)),0))</f>
        <v>0</v>
      </c>
    </row>
    <row r="8" customFormat="false" ht="15" hidden="false" customHeight="false" outlineLevel="0" collapsed="false">
      <c r="A8" s="13" t="s">
        <v>67</v>
      </c>
      <c r="B8" s="15" t="n">
        <v>6</v>
      </c>
      <c r="C8" s="18" t="n">
        <f aca="false">IF(B8="","",B8/SUM($B$5:$B$14))</f>
        <v>0.06</v>
      </c>
      <c r="D8" s="19" t="n">
        <f aca="false">IF(A8="","",IFERROR(INDEX('Matérias-Primas'!$D$5:$D$45,MATCH(A8,'Matérias-Primas'!$A$5:$A$45,0)),0))</f>
        <v>2</v>
      </c>
      <c r="E8" s="20" t="n">
        <f aca="false">IF(A8="",0,C8*IFERROR(INDEX('Matérias-Primas'!$F$5:$F$45,MATCH(A8,'Matérias-Primas'!$A$5:$A$45,0)),0))</f>
        <v>0</v>
      </c>
      <c r="F8" s="20" t="n">
        <f aca="false">IF(A8="",0,C8*IFERROR(INDEX('Matérias-Primas'!$G$5:$G$45,MATCH(A8,'Matérias-Primas'!$A$5:$A$45,0)),0))</f>
        <v>0</v>
      </c>
      <c r="G8" s="20" t="n">
        <f aca="false">IF(A8="",0,C8*IFERROR(INDEX('Matérias-Primas'!$H$5:$H$45,MATCH(A8,'Matérias-Primas'!$A$5:$A$45,0)),0))</f>
        <v>0</v>
      </c>
      <c r="H8" s="20" t="n">
        <f aca="false">IF(A8="",0,C8*IFERROR(INDEX('Matérias-Primas'!$I$5:$I$45,MATCH(A8,'Matérias-Primas'!$A$5:$A$45,0)),0))</f>
        <v>0</v>
      </c>
      <c r="I8" s="20" t="n">
        <f aca="false">IF(A8="",0,C8*IFERROR(INDEX('Matérias-Primas'!$J$5:$J$45,MATCH(A8,'Matérias-Primas'!$A$5:$A$45,0)),0))</f>
        <v>0</v>
      </c>
      <c r="J8" s="20" t="n">
        <f aca="false">IF(A8="",0,C8*IFERROR(INDEX('Matérias-Primas'!$K$5:$K$45,MATCH(A8,'Matérias-Primas'!$A$5:$A$45,0)),0))</f>
        <v>0</v>
      </c>
      <c r="K8" s="20" t="n">
        <f aca="false">IF(A8="",0,C8*IFERROR(INDEX('Matérias-Primas'!$L$5:$L$45,MATCH(A8,'Matérias-Primas'!$A$5:$A$45,0)),0))</f>
        <v>3.36</v>
      </c>
      <c r="L8" s="20" t="n">
        <f aca="false">IF(A8="",0,C8*IFERROR(INDEX('Matérias-Primas'!$M$5:$M$45,MATCH(A8,'Matérias-Primas'!$A$5:$A$45,0)),0))</f>
        <v>0</v>
      </c>
      <c r="M8" s="20" t="n">
        <f aca="false">IF(A8="",0,C8*IFERROR(INDEX('Matérias-Primas'!$N$5:$N$45,MATCH(A8,'Matérias-Primas'!$A$5:$A$45,0)),0))</f>
        <v>0</v>
      </c>
      <c r="N8" s="20" t="n">
        <f aca="false">IF(A8="",0,C8*IFERROR(INDEX('Matérias-Primas'!$O$5:$O$45,MATCH(A8,'Matérias-Primas'!$A$5:$A$45,0)),0))</f>
        <v>0</v>
      </c>
      <c r="O8" s="20" t="n">
        <f aca="false">IF(A8="",0,C8*IFERROR(INDEX('Matérias-Primas'!$P$5:$P$45,MATCH(A8,'Matérias-Primas'!$A$5:$A$45,0)),0))</f>
        <v>0</v>
      </c>
      <c r="P8" s="20" t="n">
        <f aca="false">IF(A8="",0,C8*IFERROR(INDEX('Matérias-Primas'!$Q$5:$Q$45,MATCH(A8,'Matérias-Primas'!$A$5:$A$45,0)),0))</f>
        <v>0</v>
      </c>
      <c r="Q8" s="20" t="n">
        <f aca="false">IF(A8="",0,C8*IFERROR(INDEX('Matérias-Primas'!$R$5:$R$45,MATCH(A8,'Matérias-Primas'!$A$5:$A$45,0)),0))</f>
        <v>0</v>
      </c>
    </row>
    <row r="9" customFormat="false" ht="15" hidden="false" customHeight="false" outlineLevel="0" collapsed="false">
      <c r="A9" s="13" t="s">
        <v>62</v>
      </c>
      <c r="B9" s="15" t="n">
        <v>25</v>
      </c>
      <c r="C9" s="18" t="n">
        <f aca="false">IF(B9="","",B9/SUM($B$5:$B$14))</f>
        <v>0.25</v>
      </c>
      <c r="D9" s="19" t="n">
        <f aca="false">IF(A9="","",IFERROR(INDEX('Matérias-Primas'!$D$5:$D$45,MATCH(A9,'Matérias-Primas'!$A$5:$A$45,0)),0))</f>
        <v>2.5</v>
      </c>
      <c r="E9" s="20" t="n">
        <f aca="false">IF(A9="",0,C9*IFERROR(INDEX('Matérias-Primas'!$F$5:$F$45,MATCH(A9,'Matérias-Primas'!$A$5:$A$45,0)),0))</f>
        <v>11.625</v>
      </c>
      <c r="F9" s="20" t="n">
        <f aca="false">IF(A9="",0,C9*IFERROR(INDEX('Matérias-Primas'!$G$5:$G$45,MATCH(A9,'Matérias-Primas'!$A$5:$A$45,0)),0))</f>
        <v>9.875</v>
      </c>
      <c r="G9" s="20" t="n">
        <f aca="false">IF(A9="",0,C9*IFERROR(INDEX('Matérias-Primas'!$H$5:$H$45,MATCH(A9,'Matérias-Primas'!$A$5:$A$45,0)),0))</f>
        <v>0</v>
      </c>
      <c r="H9" s="20" t="n">
        <f aca="false">IF(A9="",0,C9*IFERROR(INDEX('Matérias-Primas'!$I$5:$I$45,MATCH(A9,'Matérias-Primas'!$A$5:$A$45,0)),0))</f>
        <v>0</v>
      </c>
      <c r="I9" s="20" t="n">
        <f aca="false">IF(A9="",0,C9*IFERROR(INDEX('Matérias-Primas'!$J$5:$J$45,MATCH(A9,'Matérias-Primas'!$A$5:$A$45,0)),0))</f>
        <v>0</v>
      </c>
      <c r="J9" s="20" t="n">
        <f aca="false">IF(A9="",0,C9*IFERROR(INDEX('Matérias-Primas'!$K$5:$K$45,MATCH(A9,'Matérias-Primas'!$A$5:$A$45,0)),0))</f>
        <v>0</v>
      </c>
      <c r="K9" s="20" t="n">
        <f aca="false">IF(A9="",0,C9*IFERROR(INDEX('Matérias-Primas'!$L$5:$L$45,MATCH(A9,'Matérias-Primas'!$A$5:$A$45,0)),0))</f>
        <v>0</v>
      </c>
      <c r="L9" s="20" t="n">
        <f aca="false">IF(A9="",0,C9*IFERROR(INDEX('Matérias-Primas'!$M$5:$M$45,MATCH(A9,'Matérias-Primas'!$A$5:$A$45,0)),0))</f>
        <v>0</v>
      </c>
      <c r="M9" s="20" t="n">
        <f aca="false">IF(A9="",0,C9*IFERROR(INDEX('Matérias-Primas'!$N$5:$N$45,MATCH(A9,'Matérias-Primas'!$A$5:$A$45,0)),0))</f>
        <v>0</v>
      </c>
      <c r="N9" s="20" t="n">
        <f aca="false">IF(A9="",0,C9*IFERROR(INDEX('Matérias-Primas'!$O$5:$O$45,MATCH(A9,'Matérias-Primas'!$A$5:$A$45,0)),0))</f>
        <v>0</v>
      </c>
      <c r="O9" s="20" t="n">
        <f aca="false">IF(A9="",0,C9*IFERROR(INDEX('Matérias-Primas'!$P$5:$P$45,MATCH(A9,'Matérias-Primas'!$A$5:$A$45,0)),0))</f>
        <v>0</v>
      </c>
      <c r="P9" s="20" t="n">
        <f aca="false">IF(A9="",0,C9*IFERROR(INDEX('Matérias-Primas'!$Q$5:$Q$45,MATCH(A9,'Matérias-Primas'!$A$5:$A$45,0)),0))</f>
        <v>0.025</v>
      </c>
      <c r="Q9" s="20" t="n">
        <f aca="false">IF(A9="",0,C9*IFERROR(INDEX('Matérias-Primas'!$R$5:$R$45,MATCH(A9,'Matérias-Primas'!$A$5:$A$45,0)),0))</f>
        <v>0</v>
      </c>
    </row>
    <row r="10" customFormat="false" ht="15" hidden="false" customHeight="false" outlineLevel="0" collapsed="false">
      <c r="A10" s="13" t="s">
        <v>64</v>
      </c>
      <c r="B10" s="15" t="n">
        <v>5</v>
      </c>
      <c r="C10" s="18" t="n">
        <f aca="false">IF(B10="","",B10/SUM($B$5:$B$14))</f>
        <v>0.05</v>
      </c>
      <c r="D10" s="19" t="n">
        <f aca="false">IF(A10="","",IFERROR(INDEX('Matérias-Primas'!$D$5:$D$45,MATCH(A10,'Matérias-Primas'!$A$5:$A$45,0)),0))</f>
        <v>2</v>
      </c>
      <c r="E10" s="20" t="n">
        <f aca="false">IF(A10="",0,C10*IFERROR(INDEX('Matérias-Primas'!$F$5:$F$45,MATCH(A10,'Matérias-Primas'!$A$5:$A$45,0)),0))</f>
        <v>5</v>
      </c>
      <c r="F10" s="20" t="n">
        <f aca="false">IF(A10="",0,C10*IFERROR(INDEX('Matérias-Primas'!$G$5:$G$45,MATCH(A10,'Matérias-Primas'!$A$5:$A$45,0)),0))</f>
        <v>0</v>
      </c>
      <c r="G10" s="20" t="n">
        <f aca="false">IF(A10="",0,C10*IFERROR(INDEX('Matérias-Primas'!$H$5:$H$45,MATCH(A10,'Matérias-Primas'!$A$5:$A$45,0)),0))</f>
        <v>0</v>
      </c>
      <c r="H10" s="20" t="n">
        <f aca="false">IF(A10="",0,C10*IFERROR(INDEX('Matérias-Primas'!$I$5:$I$45,MATCH(A10,'Matérias-Primas'!$A$5:$A$45,0)),0))</f>
        <v>0</v>
      </c>
      <c r="I10" s="20" t="n">
        <f aca="false">IF(A10="",0,C10*IFERROR(INDEX('Matérias-Primas'!$J$5:$J$45,MATCH(A10,'Matérias-Primas'!$A$5:$A$45,0)),0))</f>
        <v>0</v>
      </c>
      <c r="J10" s="20" t="n">
        <f aca="false">IF(A10="",0,C10*IFERROR(INDEX('Matérias-Primas'!$K$5:$K$45,MATCH(A10,'Matérias-Primas'!$A$5:$A$45,0)),0))</f>
        <v>0</v>
      </c>
      <c r="K10" s="20" t="n">
        <f aca="false">IF(A10="",0,C10*IFERROR(INDEX('Matérias-Primas'!$L$5:$L$45,MATCH(A10,'Matérias-Primas'!$A$5:$A$45,0)),0))</f>
        <v>0</v>
      </c>
      <c r="L10" s="20" t="n">
        <f aca="false">IF(A10="",0,C10*IFERROR(INDEX('Matérias-Primas'!$M$5:$M$45,MATCH(A10,'Matérias-Primas'!$A$5:$A$45,0)),0))</f>
        <v>0</v>
      </c>
      <c r="M10" s="20" t="n">
        <f aca="false">IF(A10="",0,C10*IFERROR(INDEX('Matérias-Primas'!$N$5:$N$45,MATCH(A10,'Matérias-Primas'!$A$5:$A$45,0)),0))</f>
        <v>0</v>
      </c>
      <c r="N10" s="20" t="n">
        <f aca="false">IF(A10="",0,C10*IFERROR(INDEX('Matérias-Primas'!$O$5:$O$45,MATCH(A10,'Matérias-Primas'!$A$5:$A$45,0)),0))</f>
        <v>0</v>
      </c>
      <c r="O10" s="20" t="n">
        <f aca="false">IF(A10="",0,C10*IFERROR(INDEX('Matérias-Primas'!$P$5:$P$45,MATCH(A10,'Matérias-Primas'!$A$5:$A$45,0)),0))</f>
        <v>0</v>
      </c>
      <c r="P10" s="20" t="n">
        <f aca="false">IF(A10="",0,C10*IFERROR(INDEX('Matérias-Primas'!$Q$5:$Q$45,MATCH(A10,'Matérias-Primas'!$A$5:$A$45,0)),0))</f>
        <v>0</v>
      </c>
      <c r="Q10" s="20" t="n">
        <f aca="false">IF(A10="",0,C10*IFERROR(INDEX('Matérias-Primas'!$R$5:$R$45,MATCH(A10,'Matérias-Primas'!$A$5:$A$45,0)),0))</f>
        <v>0</v>
      </c>
    </row>
    <row r="11" customFormat="false" ht="15" hidden="false" customHeight="false" outlineLevel="0" collapsed="false">
      <c r="A11" s="13"/>
      <c r="B11" s="15"/>
      <c r="C11" s="18" t="str">
        <f aca="false">IF(B11="","",B11/SUM($B$5:$B$14))</f>
        <v/>
      </c>
      <c r="D11" s="19" t="str">
        <f aca="false">IF(A11="","",IFERROR(INDEX('Matérias-Primas'!$D$5:$D$45,MATCH(A11,'Matérias-Primas'!$A$5:$A$45,0)),0))</f>
        <v/>
      </c>
      <c r="E11" s="20" t="n">
        <f aca="false">IF(A11="",0,C11*IFERROR(INDEX('Matérias-Primas'!$F$5:$F$45,MATCH(A11,'Matérias-Primas'!$A$5:$A$45,0)),0))</f>
        <v>0</v>
      </c>
      <c r="F11" s="20" t="n">
        <f aca="false">IF(A11="",0,C11*IFERROR(INDEX('Matérias-Primas'!$G$5:$G$45,MATCH(A11,'Matérias-Primas'!$A$5:$A$45,0)),0))</f>
        <v>0</v>
      </c>
      <c r="G11" s="20" t="n">
        <f aca="false">IF(A11="",0,C11*IFERROR(INDEX('Matérias-Primas'!$H$5:$H$45,MATCH(A11,'Matérias-Primas'!$A$5:$A$45,0)),0))</f>
        <v>0</v>
      </c>
      <c r="H11" s="20" t="n">
        <f aca="false">IF(A11="",0,C11*IFERROR(INDEX('Matérias-Primas'!$I$5:$I$45,MATCH(A11,'Matérias-Primas'!$A$5:$A$45,0)),0))</f>
        <v>0</v>
      </c>
      <c r="I11" s="20" t="n">
        <f aca="false">IF(A11="",0,C11*IFERROR(INDEX('Matérias-Primas'!$J$5:$J$45,MATCH(A11,'Matérias-Primas'!$A$5:$A$45,0)),0))</f>
        <v>0</v>
      </c>
      <c r="J11" s="20" t="n">
        <f aca="false">IF(A11="",0,C11*IFERROR(INDEX('Matérias-Primas'!$K$5:$K$45,MATCH(A11,'Matérias-Primas'!$A$5:$A$45,0)),0))</f>
        <v>0</v>
      </c>
      <c r="K11" s="20" t="n">
        <f aca="false">IF(A11="",0,C11*IFERROR(INDEX('Matérias-Primas'!$L$5:$L$45,MATCH(A11,'Matérias-Primas'!$A$5:$A$45,0)),0))</f>
        <v>0</v>
      </c>
      <c r="L11" s="20" t="n">
        <f aca="false">IF(A11="",0,C11*IFERROR(INDEX('Matérias-Primas'!$M$5:$M$45,MATCH(A11,'Matérias-Primas'!$A$5:$A$45,0)),0))</f>
        <v>0</v>
      </c>
      <c r="M11" s="20" t="n">
        <f aca="false">IF(A11="",0,C11*IFERROR(INDEX('Matérias-Primas'!$N$5:$N$45,MATCH(A11,'Matérias-Primas'!$A$5:$A$45,0)),0))</f>
        <v>0</v>
      </c>
      <c r="N11" s="20" t="n">
        <f aca="false">IF(A11="",0,C11*IFERROR(INDEX('Matérias-Primas'!$O$5:$O$45,MATCH(A11,'Matérias-Primas'!$A$5:$A$45,0)),0))</f>
        <v>0</v>
      </c>
      <c r="O11" s="20" t="n">
        <f aca="false">IF(A11="",0,C11*IFERROR(INDEX('Matérias-Primas'!$P$5:$P$45,MATCH(A11,'Matérias-Primas'!$A$5:$A$45,0)),0))</f>
        <v>0</v>
      </c>
      <c r="P11" s="20" t="n">
        <f aca="false">IF(A11="",0,C11*IFERROR(INDEX('Matérias-Primas'!$Q$5:$Q$45,MATCH(A11,'Matérias-Primas'!$A$5:$A$45,0)),0))</f>
        <v>0</v>
      </c>
      <c r="Q11" s="20" t="n">
        <f aca="false">IF(A11="",0,C11*IFERROR(INDEX('Matérias-Primas'!$R$5:$R$45,MATCH(A11,'Matérias-Primas'!$A$5:$A$45,0)),0))</f>
        <v>0</v>
      </c>
    </row>
    <row r="12" customFormat="false" ht="15" hidden="false" customHeight="false" outlineLevel="0" collapsed="false">
      <c r="A12" s="13"/>
      <c r="B12" s="15"/>
      <c r="C12" s="18" t="str">
        <f aca="false">IF(B12="","",B12/SUM($B$5:$B$14))</f>
        <v/>
      </c>
      <c r="D12" s="19" t="str">
        <f aca="false">IF(A12="","",IFERROR(INDEX('Matérias-Primas'!$D$5:$D$45,MATCH(A12,'Matérias-Primas'!$A$5:$A$45,0)),0))</f>
        <v/>
      </c>
      <c r="E12" s="20" t="n">
        <f aca="false">IF(A12="",0,C12*IFERROR(INDEX('Matérias-Primas'!$F$5:$F$45,MATCH(A12,'Matérias-Primas'!$A$5:$A$45,0)),0))</f>
        <v>0</v>
      </c>
      <c r="F12" s="20" t="n">
        <f aca="false">IF(A12="",0,C12*IFERROR(INDEX('Matérias-Primas'!$G$5:$G$45,MATCH(A12,'Matérias-Primas'!$A$5:$A$45,0)),0))</f>
        <v>0</v>
      </c>
      <c r="G12" s="20" t="n">
        <f aca="false">IF(A12="",0,C12*IFERROR(INDEX('Matérias-Primas'!$H$5:$H$45,MATCH(A12,'Matérias-Primas'!$A$5:$A$45,0)),0))</f>
        <v>0</v>
      </c>
      <c r="H12" s="20" t="n">
        <f aca="false">IF(A12="",0,C12*IFERROR(INDEX('Matérias-Primas'!$I$5:$I$45,MATCH(A12,'Matérias-Primas'!$A$5:$A$45,0)),0))</f>
        <v>0</v>
      </c>
      <c r="I12" s="20" t="n">
        <f aca="false">IF(A12="",0,C12*IFERROR(INDEX('Matérias-Primas'!$J$5:$J$45,MATCH(A12,'Matérias-Primas'!$A$5:$A$45,0)),0))</f>
        <v>0</v>
      </c>
      <c r="J12" s="20" t="n">
        <f aca="false">IF(A12="",0,C12*IFERROR(INDEX('Matérias-Primas'!$K$5:$K$45,MATCH(A12,'Matérias-Primas'!$A$5:$A$45,0)),0))</f>
        <v>0</v>
      </c>
      <c r="K12" s="20" t="n">
        <f aca="false">IF(A12="",0,C12*IFERROR(INDEX('Matérias-Primas'!$L$5:$L$45,MATCH(A12,'Matérias-Primas'!$A$5:$A$45,0)),0))</f>
        <v>0</v>
      </c>
      <c r="L12" s="20" t="n">
        <f aca="false">IF(A12="",0,C12*IFERROR(INDEX('Matérias-Primas'!$M$5:$M$45,MATCH(A12,'Matérias-Primas'!$A$5:$A$45,0)),0))</f>
        <v>0</v>
      </c>
      <c r="M12" s="20" t="n">
        <f aca="false">IF(A12="",0,C12*IFERROR(INDEX('Matérias-Primas'!$N$5:$N$45,MATCH(A12,'Matérias-Primas'!$A$5:$A$45,0)),0))</f>
        <v>0</v>
      </c>
      <c r="N12" s="20" t="n">
        <f aca="false">IF(A12="",0,C12*IFERROR(INDEX('Matérias-Primas'!$O$5:$O$45,MATCH(A12,'Matérias-Primas'!$A$5:$A$45,0)),0))</f>
        <v>0</v>
      </c>
      <c r="O12" s="20" t="n">
        <f aca="false">IF(A12="",0,C12*IFERROR(INDEX('Matérias-Primas'!$P$5:$P$45,MATCH(A12,'Matérias-Primas'!$A$5:$A$45,0)),0))</f>
        <v>0</v>
      </c>
      <c r="P12" s="20" t="n">
        <f aca="false">IF(A12="",0,C12*IFERROR(INDEX('Matérias-Primas'!$Q$5:$Q$45,MATCH(A12,'Matérias-Primas'!$A$5:$A$45,0)),0))</f>
        <v>0</v>
      </c>
      <c r="Q12" s="20" t="n">
        <f aca="false">IF(A12="",0,C12*IFERROR(INDEX('Matérias-Primas'!$R$5:$R$45,MATCH(A12,'Matérias-Primas'!$A$5:$A$45,0)),0))</f>
        <v>0</v>
      </c>
    </row>
    <row r="13" customFormat="false" ht="15" hidden="false" customHeight="false" outlineLevel="0" collapsed="false">
      <c r="A13" s="13"/>
      <c r="B13" s="15"/>
      <c r="C13" s="18" t="str">
        <f aca="false">IF(B13="","",B13/SUM($B$5:$B$14))</f>
        <v/>
      </c>
      <c r="D13" s="19" t="str">
        <f aca="false">IF(A13="","",IFERROR(INDEX('Matérias-Primas'!$D$5:$D$45,MATCH(A13,'Matérias-Primas'!$A$5:$A$45,0)),0))</f>
        <v/>
      </c>
      <c r="E13" s="20" t="n">
        <f aca="false">IF(A13="",0,C13*IFERROR(INDEX('Matérias-Primas'!$F$5:$F$45,MATCH(A13,'Matérias-Primas'!$A$5:$A$45,0)),0))</f>
        <v>0</v>
      </c>
      <c r="F13" s="20" t="n">
        <f aca="false">IF(A13="",0,C13*IFERROR(INDEX('Matérias-Primas'!$G$5:$G$45,MATCH(A13,'Matérias-Primas'!$A$5:$A$45,0)),0))</f>
        <v>0</v>
      </c>
      <c r="G13" s="20" t="n">
        <f aca="false">IF(A13="",0,C13*IFERROR(INDEX('Matérias-Primas'!$H$5:$H$45,MATCH(A13,'Matérias-Primas'!$A$5:$A$45,0)),0))</f>
        <v>0</v>
      </c>
      <c r="H13" s="20" t="n">
        <f aca="false">IF(A13="",0,C13*IFERROR(INDEX('Matérias-Primas'!$I$5:$I$45,MATCH(A13,'Matérias-Primas'!$A$5:$A$45,0)),0))</f>
        <v>0</v>
      </c>
      <c r="I13" s="20" t="n">
        <f aca="false">IF(A13="",0,C13*IFERROR(INDEX('Matérias-Primas'!$J$5:$J$45,MATCH(A13,'Matérias-Primas'!$A$5:$A$45,0)),0))</f>
        <v>0</v>
      </c>
      <c r="J13" s="20" t="n">
        <f aca="false">IF(A13="",0,C13*IFERROR(INDEX('Matérias-Primas'!$K$5:$K$45,MATCH(A13,'Matérias-Primas'!$A$5:$A$45,0)),0))</f>
        <v>0</v>
      </c>
      <c r="K13" s="20" t="n">
        <f aca="false">IF(A13="",0,C13*IFERROR(INDEX('Matérias-Primas'!$L$5:$L$45,MATCH(A13,'Matérias-Primas'!$A$5:$A$45,0)),0))</f>
        <v>0</v>
      </c>
      <c r="L13" s="20" t="n">
        <f aca="false">IF(A13="",0,C13*IFERROR(INDEX('Matérias-Primas'!$M$5:$M$45,MATCH(A13,'Matérias-Primas'!$A$5:$A$45,0)),0))</f>
        <v>0</v>
      </c>
      <c r="M13" s="20" t="n">
        <f aca="false">IF(A13="",0,C13*IFERROR(INDEX('Matérias-Primas'!$N$5:$N$45,MATCH(A13,'Matérias-Primas'!$A$5:$A$45,0)),0))</f>
        <v>0</v>
      </c>
      <c r="N13" s="20" t="n">
        <f aca="false">IF(A13="",0,C13*IFERROR(INDEX('Matérias-Primas'!$O$5:$O$45,MATCH(A13,'Matérias-Primas'!$A$5:$A$45,0)),0))</f>
        <v>0</v>
      </c>
      <c r="O13" s="20" t="n">
        <f aca="false">IF(A13="",0,C13*IFERROR(INDEX('Matérias-Primas'!$P$5:$P$45,MATCH(A13,'Matérias-Primas'!$A$5:$A$45,0)),0))</f>
        <v>0</v>
      </c>
      <c r="P13" s="20" t="n">
        <f aca="false">IF(A13="",0,C13*IFERROR(INDEX('Matérias-Primas'!$Q$5:$Q$45,MATCH(A13,'Matérias-Primas'!$A$5:$A$45,0)),0))</f>
        <v>0</v>
      </c>
      <c r="Q13" s="20" t="n">
        <f aca="false">IF(A13="",0,C13*IFERROR(INDEX('Matérias-Primas'!$R$5:$R$45,MATCH(A13,'Matérias-Primas'!$A$5:$A$45,0)),0))</f>
        <v>0</v>
      </c>
    </row>
    <row r="14" customFormat="false" ht="15" hidden="false" customHeight="false" outlineLevel="0" collapsed="false">
      <c r="A14" s="13"/>
      <c r="B14" s="15"/>
      <c r="C14" s="18" t="str">
        <f aca="false">IF(B14="","",B14/SUM($B$5:$B$14))</f>
        <v/>
      </c>
      <c r="D14" s="19" t="str">
        <f aca="false">IF(A14="","",IFERROR(INDEX('Matérias-Primas'!$D$5:$D$45,MATCH(A14,'Matérias-Primas'!$A$5:$A$45,0)),0))</f>
        <v/>
      </c>
      <c r="E14" s="20" t="n">
        <f aca="false">IF(A14="",0,C14*IFERROR(INDEX('Matérias-Primas'!$F$5:$F$45,MATCH(A14,'Matérias-Primas'!$A$5:$A$45,0)),0))</f>
        <v>0</v>
      </c>
      <c r="F14" s="20" t="n">
        <f aca="false">IF(A14="",0,C14*IFERROR(INDEX('Matérias-Primas'!$G$5:$G$45,MATCH(A14,'Matérias-Primas'!$A$5:$A$45,0)),0))</f>
        <v>0</v>
      </c>
      <c r="G14" s="20" t="n">
        <f aca="false">IF(A14="",0,C14*IFERROR(INDEX('Matérias-Primas'!$H$5:$H$45,MATCH(A14,'Matérias-Primas'!$A$5:$A$45,0)),0))</f>
        <v>0</v>
      </c>
      <c r="H14" s="20" t="n">
        <f aca="false">IF(A14="",0,C14*IFERROR(INDEX('Matérias-Primas'!$I$5:$I$45,MATCH(A14,'Matérias-Primas'!$A$5:$A$45,0)),0))</f>
        <v>0</v>
      </c>
      <c r="I14" s="20" t="n">
        <f aca="false">IF(A14="",0,C14*IFERROR(INDEX('Matérias-Primas'!$J$5:$J$45,MATCH(A14,'Matérias-Primas'!$A$5:$A$45,0)),0))</f>
        <v>0</v>
      </c>
      <c r="J14" s="20" t="n">
        <f aca="false">IF(A14="",0,C14*IFERROR(INDEX('Matérias-Primas'!$K$5:$K$45,MATCH(A14,'Matérias-Primas'!$A$5:$A$45,0)),0))</f>
        <v>0</v>
      </c>
      <c r="K14" s="20" t="n">
        <f aca="false">IF(A14="",0,C14*IFERROR(INDEX('Matérias-Primas'!$L$5:$L$45,MATCH(A14,'Matérias-Primas'!$A$5:$A$45,0)),0))</f>
        <v>0</v>
      </c>
      <c r="L14" s="20" t="n">
        <f aca="false">IF(A14="",0,C14*IFERROR(INDEX('Matérias-Primas'!$M$5:$M$45,MATCH(A14,'Matérias-Primas'!$A$5:$A$45,0)),0))</f>
        <v>0</v>
      </c>
      <c r="M14" s="20" t="n">
        <f aca="false">IF(A14="",0,C14*IFERROR(INDEX('Matérias-Primas'!$N$5:$N$45,MATCH(A14,'Matérias-Primas'!$A$5:$A$45,0)),0))</f>
        <v>0</v>
      </c>
      <c r="N14" s="20" t="n">
        <f aca="false">IF(A14="",0,C14*IFERROR(INDEX('Matérias-Primas'!$O$5:$O$45,MATCH(A14,'Matérias-Primas'!$A$5:$A$45,0)),0))</f>
        <v>0</v>
      </c>
      <c r="O14" s="20" t="n">
        <f aca="false">IF(A14="",0,C14*IFERROR(INDEX('Matérias-Primas'!$P$5:$P$45,MATCH(A14,'Matérias-Primas'!$A$5:$A$45,0)),0))</f>
        <v>0</v>
      </c>
      <c r="P14" s="20" t="n">
        <f aca="false">IF(A14="",0,C14*IFERROR(INDEX('Matérias-Primas'!$Q$5:$Q$45,MATCH(A14,'Matérias-Primas'!$A$5:$A$45,0)),0))</f>
        <v>0</v>
      </c>
      <c r="Q14" s="20" t="n">
        <f aca="false">IF(A14="",0,C14*IFERROR(INDEX('Matérias-Primas'!$R$5:$R$45,MATCH(A14,'Matérias-Primas'!$A$5:$A$45,0)),0))</f>
        <v>0</v>
      </c>
    </row>
    <row r="15" customFormat="false" ht="15" hidden="false" customHeight="false" outlineLevel="0" collapsed="false">
      <c r="A15" s="5" t="s">
        <v>123</v>
      </c>
      <c r="B15" s="21" t="n">
        <f aca="false">SUM(B5:B14)</f>
        <v>100</v>
      </c>
      <c r="C15" s="22" t="n">
        <f aca="false">SUM(C5:C14)</f>
        <v>1</v>
      </c>
      <c r="D15" s="2"/>
      <c r="E15" s="23" t="n">
        <f aca="false">SUM(E5:E14)</f>
        <v>53.679</v>
      </c>
      <c r="F15" s="23" t="n">
        <f aca="false">SUM(F5:F14)</f>
        <v>15.425</v>
      </c>
      <c r="G15" s="23" t="n">
        <f aca="false">SUM(G5:G14)</f>
        <v>2.772</v>
      </c>
      <c r="H15" s="23" t="n">
        <f aca="false">SUM(H5:H14)</f>
        <v>2.136</v>
      </c>
      <c r="I15" s="23" t="n">
        <f aca="false">SUM(I5:I14)</f>
        <v>3.3</v>
      </c>
      <c r="J15" s="23" t="n">
        <f aca="false">SUM(J5:J14)</f>
        <v>0</v>
      </c>
      <c r="K15" s="23" t="n">
        <f aca="false">SUM(K5:K14)</f>
        <v>16.458</v>
      </c>
      <c r="L15" s="23" t="n">
        <f aca="false">SUM(L5:L14)</f>
        <v>0</v>
      </c>
      <c r="M15" s="23" t="n">
        <f aca="false">SUM(M5:M14)</f>
        <v>0</v>
      </c>
      <c r="N15" s="23" t="n">
        <f aca="false">SUM(N5:N14)</f>
        <v>0</v>
      </c>
      <c r="O15" s="23" t="n">
        <f aca="false">SUM(O5:O14)</f>
        <v>0</v>
      </c>
      <c r="P15" s="23" t="n">
        <f aca="false">SUM(P5:P14)</f>
        <v>0.055</v>
      </c>
      <c r="Q15" s="23" t="n">
        <f aca="false">SUM(Q5:Q14)</f>
        <v>0</v>
      </c>
    </row>
    <row r="16" customFormat="false" ht="15" hidden="false" customHeight="false" outlineLevel="0" collapsed="false">
      <c r="A16" s="5" t="s">
        <v>124</v>
      </c>
      <c r="B16" s="2"/>
      <c r="C16" s="2"/>
      <c r="D16" s="2"/>
      <c r="E16" s="24" t="n">
        <f aca="false">'Matérias-Primas'!F3</f>
        <v>60.08</v>
      </c>
      <c r="F16" s="24" t="n">
        <f aca="false">'Matérias-Primas'!G3</f>
        <v>101.96</v>
      </c>
      <c r="G16" s="24" t="n">
        <f aca="false">'Matérias-Primas'!H3</f>
        <v>69.62</v>
      </c>
      <c r="H16" s="24" t="n">
        <f aca="false">'Matérias-Primas'!I3</f>
        <v>61.98</v>
      </c>
      <c r="I16" s="24" t="n">
        <f aca="false">'Matérias-Primas'!J3</f>
        <v>94.2</v>
      </c>
      <c r="J16" s="24" t="n">
        <f aca="false">'Matérias-Primas'!K3</f>
        <v>29.88</v>
      </c>
      <c r="K16" s="24" t="n">
        <f aca="false">'Matérias-Primas'!L3</f>
        <v>56.08</v>
      </c>
      <c r="L16" s="24" t="n">
        <f aca="false">'Matérias-Primas'!M3</f>
        <v>40.3</v>
      </c>
      <c r="M16" s="24" t="n">
        <f aca="false">'Matérias-Primas'!N3</f>
        <v>103.62</v>
      </c>
      <c r="N16" s="24" t="n">
        <f aca="false">'Matérias-Primas'!O3</f>
        <v>81.38</v>
      </c>
      <c r="O16" s="24" t="n">
        <f aca="false">'Matérias-Primas'!P3</f>
        <v>123.22</v>
      </c>
      <c r="P16" s="24" t="n">
        <f aca="false">'Matérias-Primas'!Q3</f>
        <v>159.69</v>
      </c>
      <c r="Q16" s="24" t="n">
        <f aca="false">'Matérias-Primas'!R3</f>
        <v>79.87</v>
      </c>
    </row>
    <row r="17" customFormat="false" ht="15" hidden="false" customHeight="false" outlineLevel="0" collapsed="false">
      <c r="A17" s="5" t="s">
        <v>125</v>
      </c>
      <c r="B17" s="2"/>
      <c r="C17" s="3" t="s">
        <v>126</v>
      </c>
      <c r="D17" s="25" t="n">
        <f aca="false">H17+I17+J17+K17+L17+M17+N17</f>
        <v>0.362968186176448</v>
      </c>
      <c r="E17" s="25" t="n">
        <f aca="false">E15/E16</f>
        <v>0.893458721704394</v>
      </c>
      <c r="F17" s="25" t="n">
        <f aca="false">F15/F16</f>
        <v>0.15128481757552</v>
      </c>
      <c r="G17" s="25" t="n">
        <f aca="false">G15/G16</f>
        <v>0.039816144785981</v>
      </c>
      <c r="H17" s="25" t="n">
        <f aca="false">H15/H16</f>
        <v>0.0344627299128751</v>
      </c>
      <c r="I17" s="25" t="n">
        <f aca="false">I15/I16</f>
        <v>0.035031847133758</v>
      </c>
      <c r="J17" s="25" t="n">
        <f aca="false">J15/J16</f>
        <v>0</v>
      </c>
      <c r="K17" s="25" t="n">
        <f aca="false">K15/K16</f>
        <v>0.293473609129815</v>
      </c>
      <c r="L17" s="25" t="n">
        <f aca="false">L15/L16</f>
        <v>0</v>
      </c>
      <c r="M17" s="25" t="n">
        <f aca="false">M15/M16</f>
        <v>0</v>
      </c>
      <c r="N17" s="25" t="n">
        <f aca="false">N15/N16</f>
        <v>0</v>
      </c>
      <c r="O17" s="25" t="n">
        <f aca="false">O15/O16</f>
        <v>0</v>
      </c>
      <c r="P17" s="25" t="n">
        <f aca="false">P15/P16</f>
        <v>0.000344417308535287</v>
      </c>
      <c r="Q17" s="25" t="n">
        <f aca="false">Q15/Q16</f>
        <v>0</v>
      </c>
    </row>
    <row r="18" customFormat="false" ht="15" hidden="false" customHeight="false" outlineLevel="0" collapsed="false">
      <c r="A18" s="5" t="s">
        <v>127</v>
      </c>
      <c r="B18" s="2"/>
      <c r="C18" s="2"/>
      <c r="D18" s="2"/>
      <c r="E18" s="26" t="n">
        <f aca="false">IF($D$17=0,0,E17/$D$17)</f>
        <v>2.46153452487448</v>
      </c>
      <c r="F18" s="26" t="n">
        <f aca="false">IF($D$17=0,0,F17/$D$17)</f>
        <v>0.416799111705004</v>
      </c>
      <c r="G18" s="26" t="n">
        <f aca="false">IF($D$17=0,0,G17/$D$17)</f>
        <v>0.109695963179058</v>
      </c>
      <c r="H18" s="26" t="n">
        <f aca="false">IF($D$17=0,0,H17/$D$17)</f>
        <v>0.0949469711819921</v>
      </c>
      <c r="I18" s="26" t="n">
        <f aca="false">IF($D$17=0,0,I17/$D$17)</f>
        <v>0.0965149246350977</v>
      </c>
      <c r="J18" s="26" t="n">
        <f aca="false">IF($D$17=0,0,J17/$D$17)</f>
        <v>0</v>
      </c>
      <c r="K18" s="26" t="n">
        <f aca="false">IF($D$17=0,0,K17/$D$17)</f>
        <v>0.80853810418291</v>
      </c>
      <c r="L18" s="26" t="n">
        <f aca="false">IF($D$17=0,0,L17/$D$17)</f>
        <v>0</v>
      </c>
      <c r="M18" s="26" t="n">
        <f aca="false">IF($D$17=0,0,M17/$D$17)</f>
        <v>0</v>
      </c>
      <c r="N18" s="26" t="n">
        <f aca="false">IF($D$17=0,0,N17/$D$17)</f>
        <v>0</v>
      </c>
      <c r="O18" s="26" t="n">
        <f aca="false">IF($D$17=0,0,O17/$D$17)</f>
        <v>0</v>
      </c>
      <c r="P18" s="26" t="n">
        <f aca="false">IF($D$17=0,0,P17/$D$17)</f>
        <v>0.000948891174632747</v>
      </c>
      <c r="Q18" s="26" t="n">
        <f aca="false">IF($D$17=0,0,Q17/$D$17)</f>
        <v>0</v>
      </c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customFormat="false" ht="15" hidden="false" customHeight="false" outlineLevel="0" collapsed="false">
      <c r="A20" s="4" t="s">
        <v>128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customFormat="false" ht="15" hidden="false" customHeight="false" outlineLevel="0" collapsed="false">
      <c r="A21" s="12" t="s">
        <v>129</v>
      </c>
      <c r="B21" s="12" t="s">
        <v>130</v>
      </c>
      <c r="C21" s="12" t="s">
        <v>131</v>
      </c>
      <c r="D21" s="12" t="s">
        <v>132</v>
      </c>
      <c r="E21" s="12" t="s">
        <v>133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customFormat="false" ht="15" hidden="false" customHeight="false" outlineLevel="0" collapsed="false">
      <c r="A22" s="27" t="s">
        <v>134</v>
      </c>
      <c r="B22" s="28" t="n">
        <f aca="false">E18</f>
        <v>2.46153452487448</v>
      </c>
      <c r="C22" s="29" t="n">
        <v>2</v>
      </c>
      <c r="D22" s="29" t="n">
        <v>3</v>
      </c>
      <c r="E22" s="30" t="str">
        <f aca="false">IF(AND(B22&gt;=C22,B22&lt;=D22),"OK","Ajustar")</f>
        <v>OK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customFormat="false" ht="15" hidden="false" customHeight="false" outlineLevel="0" collapsed="false">
      <c r="A23" s="27" t="s">
        <v>135</v>
      </c>
      <c r="B23" s="28" t="n">
        <f aca="false">F18</f>
        <v>0.416799111705004</v>
      </c>
      <c r="C23" s="29" t="n">
        <v>0.35</v>
      </c>
      <c r="D23" s="29" t="n">
        <v>0.5</v>
      </c>
      <c r="E23" s="30" t="str">
        <f aca="false">IF(AND(B23&gt;=C23,B23&lt;=D23),"OK","Ajustar")</f>
        <v>OK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customFormat="false" ht="15" hidden="false" customHeight="false" outlineLevel="0" collapsed="false">
      <c r="A24" s="27" t="s">
        <v>136</v>
      </c>
      <c r="B24" s="28" t="n">
        <f aca="false">G18</f>
        <v>0.109695963179058</v>
      </c>
      <c r="C24" s="29" t="n">
        <v>0.1</v>
      </c>
      <c r="D24" s="29" t="n">
        <v>0.25</v>
      </c>
      <c r="E24" s="30" t="str">
        <f aca="false">IF(AND(B24&gt;=C24,B24&lt;=D24),"OK","Ajustar")</f>
        <v>OK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customFormat="false" ht="15" hidden="false" customHeight="false" outlineLevel="0" collapsed="false">
      <c r="A25" s="27" t="s">
        <v>137</v>
      </c>
      <c r="B25" s="28" t="n">
        <f aca="false">IF(F18=0,0,E18/F18)</f>
        <v>5.90580559254328</v>
      </c>
      <c r="C25" s="29" t="n">
        <v>5</v>
      </c>
      <c r="D25" s="29" t="n">
        <v>7</v>
      </c>
      <c r="E25" s="30" t="str">
        <f aca="false">IF(AND(B25&gt;=C25,B25&lt;=D25),"OK","Ajustar")</f>
        <v>OK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customFormat="false" ht="15" hidden="false" customHeight="false" outlineLevel="0" collapsed="false">
      <c r="A27" s="5" t="s">
        <v>138</v>
      </c>
      <c r="B27" s="31" t="n">
        <f aca="false">SUMPRODUCT(C5:C14,D5:D14)</f>
        <v>5.455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customFormat="false" ht="15" hidden="false" customHeight="false" outlineLevel="0" collapsed="false">
      <c r="A28" s="3" t="s">
        <v>139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</sheetData>
  <conditionalFormatting sqref="E22:E25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"Ajustar"</formula>
    </cfRule>
  </conditionalFormatting>
  <dataValidations count="1">
    <dataValidation allowBlank="true" errorStyle="stop" operator="between" showDropDown="false" showErrorMessage="false" showInputMessage="false" sqref="A5:A14" type="list">
      <formula1>'Matérias-Primas'!$A$5:$A$45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7" min="2" style="0" width="11"/>
  </cols>
  <sheetData>
    <row r="1" customFormat="false" ht="17.35" hidden="false" customHeight="false" outlineLevel="0" collapsed="false">
      <c r="A1" s="1" t="s">
        <v>142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false" outlineLevel="0" collapsed="false">
      <c r="A2" s="3" t="s">
        <v>143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2"/>
      <c r="B3" s="2"/>
      <c r="C3" s="2"/>
      <c r="D3" s="2"/>
      <c r="E3" s="3" t="s">
        <v>107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35.05" hidden="false" customHeight="false" outlineLevel="0" collapsed="false">
      <c r="A4" s="12" t="s">
        <v>40</v>
      </c>
      <c r="B4" s="12" t="s">
        <v>108</v>
      </c>
      <c r="C4" s="12" t="s">
        <v>109</v>
      </c>
      <c r="D4" s="12" t="s">
        <v>43</v>
      </c>
      <c r="E4" s="12" t="s">
        <v>110</v>
      </c>
      <c r="F4" s="12" t="s">
        <v>111</v>
      </c>
      <c r="G4" s="12" t="s">
        <v>112</v>
      </c>
      <c r="H4" s="12" t="s">
        <v>113</v>
      </c>
      <c r="I4" s="12" t="s">
        <v>114</v>
      </c>
      <c r="J4" s="12" t="s">
        <v>115</v>
      </c>
      <c r="K4" s="12" t="s">
        <v>116</v>
      </c>
      <c r="L4" s="12" t="s">
        <v>117</v>
      </c>
      <c r="M4" s="12" t="s">
        <v>118</v>
      </c>
      <c r="N4" s="12" t="s">
        <v>119</v>
      </c>
      <c r="O4" s="12" t="s">
        <v>120</v>
      </c>
      <c r="P4" s="12" t="s">
        <v>121</v>
      </c>
      <c r="Q4" s="12" t="s">
        <v>122</v>
      </c>
    </row>
    <row r="5" customFormat="false" ht="15" hidden="false" customHeight="false" outlineLevel="0" collapsed="false">
      <c r="A5" s="13" t="s">
        <v>59</v>
      </c>
      <c r="B5" s="15" t="n">
        <v>25</v>
      </c>
      <c r="C5" s="18" t="n">
        <f aca="false">IF(B5="","",B5/SUM($B$5:$B$14))</f>
        <v>0.25</v>
      </c>
      <c r="D5" s="19" t="n">
        <f aca="false">IF(A5="","",IFERROR(INDEX('Matérias-Primas'!$D$5:$D$45,MATCH(A5,'Matérias-Primas'!$A$5:$A$45,0)),0))</f>
        <v>3.5</v>
      </c>
      <c r="E5" s="20" t="n">
        <f aca="false">IF(A5="",0,C5*IFERROR(INDEX('Matérias-Primas'!$F$5:$F$45,MATCH(A5,'Matérias-Primas'!$A$5:$A$45,0)),0))</f>
        <v>16.75</v>
      </c>
      <c r="F5" s="20" t="n">
        <f aca="false">IF(A5="",0,C5*IFERROR(INDEX('Matérias-Primas'!$G$5:$G$45,MATCH(A5,'Matérias-Primas'!$A$5:$A$45,0)),0))</f>
        <v>4.625</v>
      </c>
      <c r="G5" s="20" t="n">
        <f aca="false">IF(A5="",0,C5*IFERROR(INDEX('Matérias-Primas'!$H$5:$H$45,MATCH(A5,'Matérias-Primas'!$A$5:$A$45,0)),0))</f>
        <v>0</v>
      </c>
      <c r="H5" s="20" t="n">
        <f aca="false">IF(A5="",0,C5*IFERROR(INDEX('Matérias-Primas'!$I$5:$I$45,MATCH(A5,'Matérias-Primas'!$A$5:$A$45,0)),0))</f>
        <v>0.75</v>
      </c>
      <c r="I5" s="20" t="n">
        <f aca="false">IF(A5="",0,C5*IFERROR(INDEX('Matérias-Primas'!$J$5:$J$45,MATCH(A5,'Matérias-Primas'!$A$5:$A$45,0)),0))</f>
        <v>2.75</v>
      </c>
      <c r="J5" s="20" t="n">
        <f aca="false">IF(A5="",0,C5*IFERROR(INDEX('Matérias-Primas'!$K$5:$K$45,MATCH(A5,'Matérias-Primas'!$A$5:$A$45,0)),0))</f>
        <v>0</v>
      </c>
      <c r="K5" s="20" t="n">
        <f aca="false">IF(A5="",0,C5*IFERROR(INDEX('Matérias-Primas'!$L$5:$L$45,MATCH(A5,'Matérias-Primas'!$A$5:$A$45,0)),0))</f>
        <v>0.05</v>
      </c>
      <c r="L5" s="20" t="n">
        <f aca="false">IF(A5="",0,C5*IFERROR(INDEX('Matérias-Primas'!$M$5:$M$45,MATCH(A5,'Matérias-Primas'!$A$5:$A$45,0)),0))</f>
        <v>0</v>
      </c>
      <c r="M5" s="20" t="n">
        <f aca="false">IF(A5="",0,C5*IFERROR(INDEX('Matérias-Primas'!$N$5:$N$45,MATCH(A5,'Matérias-Primas'!$A$5:$A$45,0)),0))</f>
        <v>0</v>
      </c>
      <c r="N5" s="20" t="n">
        <f aca="false">IF(A5="",0,C5*IFERROR(INDEX('Matérias-Primas'!$O$5:$O$45,MATCH(A5,'Matérias-Primas'!$A$5:$A$45,0)),0))</f>
        <v>0</v>
      </c>
      <c r="O5" s="20" t="n">
        <f aca="false">IF(A5="",0,C5*IFERROR(INDEX('Matérias-Primas'!$P$5:$P$45,MATCH(A5,'Matérias-Primas'!$A$5:$A$45,0)),0))</f>
        <v>0</v>
      </c>
      <c r="P5" s="20" t="n">
        <f aca="false">IF(A5="",0,C5*IFERROR(INDEX('Matérias-Primas'!$Q$5:$Q$45,MATCH(A5,'Matérias-Primas'!$A$5:$A$45,0)),0))</f>
        <v>0.025</v>
      </c>
      <c r="Q5" s="20" t="n">
        <f aca="false">IF(A5="",0,C5*IFERROR(INDEX('Matérias-Primas'!$R$5:$R$45,MATCH(A5,'Matérias-Primas'!$A$5:$A$45,0)),0))</f>
        <v>0</v>
      </c>
    </row>
    <row r="6" customFormat="false" ht="15" hidden="false" customHeight="false" outlineLevel="0" collapsed="false">
      <c r="A6" s="13" t="s">
        <v>72</v>
      </c>
      <c r="B6" s="15" t="n">
        <v>18</v>
      </c>
      <c r="C6" s="18" t="n">
        <f aca="false">IF(B6="","",B6/SUM($B$5:$B$14))</f>
        <v>0.18</v>
      </c>
      <c r="D6" s="19" t="n">
        <f aca="false">IF(A6="","",IFERROR(INDEX('Matérias-Primas'!$D$5:$D$45,MATCH(A6,'Matérias-Primas'!$A$5:$A$45,0)),0))</f>
        <v>15</v>
      </c>
      <c r="E6" s="20" t="n">
        <f aca="false">IF(A6="",0,C6*IFERROR(INDEX('Matérias-Primas'!$F$5:$F$45,MATCH(A6,'Matérias-Primas'!$A$5:$A$45,0)),0))</f>
        <v>8.37</v>
      </c>
      <c r="F6" s="20" t="n">
        <f aca="false">IF(A6="",0,C6*IFERROR(INDEX('Matérias-Primas'!$G$5:$G$45,MATCH(A6,'Matérias-Primas'!$A$5:$A$45,0)),0))</f>
        <v>0</v>
      </c>
      <c r="G6" s="20" t="n">
        <f aca="false">IF(A6="",0,C6*IFERROR(INDEX('Matérias-Primas'!$H$5:$H$45,MATCH(A6,'Matérias-Primas'!$A$5:$A$45,0)),0))</f>
        <v>4.158</v>
      </c>
      <c r="H6" s="20" t="n">
        <f aca="false">IF(A6="",0,C6*IFERROR(INDEX('Matérias-Primas'!$I$5:$I$45,MATCH(A6,'Matérias-Primas'!$A$5:$A$45,0)),0))</f>
        <v>1.854</v>
      </c>
      <c r="I6" s="20" t="n">
        <f aca="false">IF(A6="",0,C6*IFERROR(INDEX('Matérias-Primas'!$J$5:$J$45,MATCH(A6,'Matérias-Primas'!$A$5:$A$45,0)),0))</f>
        <v>0</v>
      </c>
      <c r="J6" s="20" t="n">
        <f aca="false">IF(A6="",0,C6*IFERROR(INDEX('Matérias-Primas'!$K$5:$K$45,MATCH(A6,'Matérias-Primas'!$A$5:$A$45,0)),0))</f>
        <v>0</v>
      </c>
      <c r="K6" s="20" t="n">
        <f aca="false">IF(A6="",0,C6*IFERROR(INDEX('Matérias-Primas'!$L$5:$L$45,MATCH(A6,'Matérias-Primas'!$A$5:$A$45,0)),0))</f>
        <v>3.618</v>
      </c>
      <c r="L6" s="20" t="n">
        <f aca="false">IF(A6="",0,C6*IFERROR(INDEX('Matérias-Primas'!$M$5:$M$45,MATCH(A6,'Matérias-Primas'!$A$5:$A$45,0)),0))</f>
        <v>0</v>
      </c>
      <c r="M6" s="20" t="n">
        <f aca="false">IF(A6="",0,C6*IFERROR(INDEX('Matérias-Primas'!$N$5:$N$45,MATCH(A6,'Matérias-Primas'!$A$5:$A$45,0)),0))</f>
        <v>0</v>
      </c>
      <c r="N6" s="20" t="n">
        <f aca="false">IF(A6="",0,C6*IFERROR(INDEX('Matérias-Primas'!$O$5:$O$45,MATCH(A6,'Matérias-Primas'!$A$5:$A$45,0)),0))</f>
        <v>0</v>
      </c>
      <c r="O6" s="20" t="n">
        <f aca="false">IF(A6="",0,C6*IFERROR(INDEX('Matérias-Primas'!$P$5:$P$45,MATCH(A6,'Matérias-Primas'!$A$5:$A$45,0)),0))</f>
        <v>0</v>
      </c>
      <c r="P6" s="20" t="n">
        <f aca="false">IF(A6="",0,C6*IFERROR(INDEX('Matérias-Primas'!$Q$5:$Q$45,MATCH(A6,'Matérias-Primas'!$A$5:$A$45,0)),0))</f>
        <v>0</v>
      </c>
      <c r="Q6" s="20" t="n">
        <f aca="false">IF(A6="",0,C6*IFERROR(INDEX('Matérias-Primas'!$R$5:$R$45,MATCH(A6,'Matérias-Primas'!$A$5:$A$45,0)),0))</f>
        <v>0</v>
      </c>
    </row>
    <row r="7" customFormat="false" ht="15" hidden="false" customHeight="false" outlineLevel="0" collapsed="false">
      <c r="A7" s="13" t="s">
        <v>70</v>
      </c>
      <c r="B7" s="15" t="n">
        <v>10</v>
      </c>
      <c r="C7" s="18" t="n">
        <f aca="false">IF(B7="","",B7/SUM($B$5:$B$14))</f>
        <v>0.1</v>
      </c>
      <c r="D7" s="19" t="n">
        <f aca="false">IF(A7="","",IFERROR(INDEX('Matérias-Primas'!$D$5:$D$45,MATCH(A7,'Matérias-Primas'!$A$5:$A$45,0)),0))</f>
        <v>35</v>
      </c>
      <c r="E7" s="20" t="n">
        <f aca="false">IF(A7="",0,C7*IFERROR(INDEX('Matérias-Primas'!$F$5:$F$45,MATCH(A7,'Matérias-Primas'!$A$5:$A$45,0)),0))</f>
        <v>0</v>
      </c>
      <c r="F7" s="20" t="n">
        <f aca="false">IF(A7="",0,C7*IFERROR(INDEX('Matérias-Primas'!$G$5:$G$45,MATCH(A7,'Matérias-Primas'!$A$5:$A$45,0)),0))</f>
        <v>0</v>
      </c>
      <c r="G7" s="20" t="n">
        <f aca="false">IF(A7="",0,C7*IFERROR(INDEX('Matérias-Primas'!$H$5:$H$45,MATCH(A7,'Matérias-Primas'!$A$5:$A$45,0)),0))</f>
        <v>0</v>
      </c>
      <c r="H7" s="20" t="n">
        <f aca="false">IF(A7="",0,C7*IFERROR(INDEX('Matérias-Primas'!$I$5:$I$45,MATCH(A7,'Matérias-Primas'!$A$5:$A$45,0)),0))</f>
        <v>0</v>
      </c>
      <c r="I7" s="20" t="n">
        <f aca="false">IF(A7="",0,C7*IFERROR(INDEX('Matérias-Primas'!$J$5:$J$45,MATCH(A7,'Matérias-Primas'!$A$5:$A$45,0)),0))</f>
        <v>0</v>
      </c>
      <c r="J7" s="20" t="n">
        <f aca="false">IF(A7="",0,C7*IFERROR(INDEX('Matérias-Primas'!$K$5:$K$45,MATCH(A7,'Matérias-Primas'!$A$5:$A$45,0)),0))</f>
        <v>0</v>
      </c>
      <c r="K7" s="20" t="n">
        <f aca="false">IF(A7="",0,C7*IFERROR(INDEX('Matérias-Primas'!$L$5:$L$45,MATCH(A7,'Matérias-Primas'!$A$5:$A$45,0)),0))</f>
        <v>0</v>
      </c>
      <c r="L7" s="20" t="n">
        <f aca="false">IF(A7="",0,C7*IFERROR(INDEX('Matérias-Primas'!$M$5:$M$45,MATCH(A7,'Matérias-Primas'!$A$5:$A$45,0)),0))</f>
        <v>0</v>
      </c>
      <c r="M7" s="20" t="n">
        <f aca="false">IF(A7="",0,C7*IFERROR(INDEX('Matérias-Primas'!$N$5:$N$45,MATCH(A7,'Matérias-Primas'!$A$5:$A$45,0)),0))</f>
        <v>7.02</v>
      </c>
      <c r="N7" s="20" t="n">
        <f aca="false">IF(A7="",0,C7*IFERROR(INDEX('Matérias-Primas'!$O$5:$O$45,MATCH(A7,'Matérias-Primas'!$A$5:$A$45,0)),0))</f>
        <v>0</v>
      </c>
      <c r="O7" s="20" t="n">
        <f aca="false">IF(A7="",0,C7*IFERROR(INDEX('Matérias-Primas'!$P$5:$P$45,MATCH(A7,'Matérias-Primas'!$A$5:$A$45,0)),0))</f>
        <v>0</v>
      </c>
      <c r="P7" s="20" t="n">
        <f aca="false">IF(A7="",0,C7*IFERROR(INDEX('Matérias-Primas'!$Q$5:$Q$45,MATCH(A7,'Matérias-Primas'!$A$5:$A$45,0)),0))</f>
        <v>0</v>
      </c>
      <c r="Q7" s="20" t="n">
        <f aca="false">IF(A7="",0,C7*IFERROR(INDEX('Matérias-Primas'!$R$5:$R$45,MATCH(A7,'Matérias-Primas'!$A$5:$A$45,0)),0))</f>
        <v>0</v>
      </c>
    </row>
    <row r="8" customFormat="false" ht="15" hidden="false" customHeight="false" outlineLevel="0" collapsed="false">
      <c r="A8" s="13" t="s">
        <v>66</v>
      </c>
      <c r="B8" s="15" t="n">
        <v>10</v>
      </c>
      <c r="C8" s="18" t="n">
        <f aca="false">IF(B8="","",B8/SUM($B$5:$B$14))</f>
        <v>0.1</v>
      </c>
      <c r="D8" s="19" t="n">
        <f aca="false">IF(A8="","",IFERROR(INDEX('Matérias-Primas'!$D$5:$D$45,MATCH(A8,'Matérias-Primas'!$A$5:$A$45,0)),0))</f>
        <v>8</v>
      </c>
      <c r="E8" s="20" t="n">
        <f aca="false">IF(A8="",0,C8*IFERROR(INDEX('Matérias-Primas'!$F$5:$F$45,MATCH(A8,'Matérias-Primas'!$A$5:$A$45,0)),0))</f>
        <v>5.17</v>
      </c>
      <c r="F8" s="20" t="n">
        <f aca="false">IF(A8="",0,C8*IFERROR(INDEX('Matérias-Primas'!$G$5:$G$45,MATCH(A8,'Matérias-Primas'!$A$5:$A$45,0)),0))</f>
        <v>0</v>
      </c>
      <c r="G8" s="20" t="n">
        <f aca="false">IF(A8="",0,C8*IFERROR(INDEX('Matérias-Primas'!$H$5:$H$45,MATCH(A8,'Matérias-Primas'!$A$5:$A$45,0)),0))</f>
        <v>0</v>
      </c>
      <c r="H8" s="20" t="n">
        <f aca="false">IF(A8="",0,C8*IFERROR(INDEX('Matérias-Primas'!$I$5:$I$45,MATCH(A8,'Matérias-Primas'!$A$5:$A$45,0)),0))</f>
        <v>0</v>
      </c>
      <c r="I8" s="20" t="n">
        <f aca="false">IF(A8="",0,C8*IFERROR(INDEX('Matérias-Primas'!$J$5:$J$45,MATCH(A8,'Matérias-Primas'!$A$5:$A$45,0)),0))</f>
        <v>0</v>
      </c>
      <c r="J8" s="20" t="n">
        <f aca="false">IF(A8="",0,C8*IFERROR(INDEX('Matérias-Primas'!$K$5:$K$45,MATCH(A8,'Matérias-Primas'!$A$5:$A$45,0)),0))</f>
        <v>0</v>
      </c>
      <c r="K8" s="20" t="n">
        <f aca="false">IF(A8="",0,C8*IFERROR(INDEX('Matérias-Primas'!$L$5:$L$45,MATCH(A8,'Matérias-Primas'!$A$5:$A$45,0)),0))</f>
        <v>4.83</v>
      </c>
      <c r="L8" s="20" t="n">
        <f aca="false">IF(A8="",0,C8*IFERROR(INDEX('Matérias-Primas'!$M$5:$M$45,MATCH(A8,'Matérias-Primas'!$A$5:$A$45,0)),0))</f>
        <v>0</v>
      </c>
      <c r="M8" s="20" t="n">
        <f aca="false">IF(A8="",0,C8*IFERROR(INDEX('Matérias-Primas'!$N$5:$N$45,MATCH(A8,'Matérias-Primas'!$A$5:$A$45,0)),0))</f>
        <v>0</v>
      </c>
      <c r="N8" s="20" t="n">
        <f aca="false">IF(A8="",0,C8*IFERROR(INDEX('Matérias-Primas'!$O$5:$O$45,MATCH(A8,'Matérias-Primas'!$A$5:$A$45,0)),0))</f>
        <v>0</v>
      </c>
      <c r="O8" s="20" t="n">
        <f aca="false">IF(A8="",0,C8*IFERROR(INDEX('Matérias-Primas'!$P$5:$P$45,MATCH(A8,'Matérias-Primas'!$A$5:$A$45,0)),0))</f>
        <v>0</v>
      </c>
      <c r="P8" s="20" t="n">
        <f aca="false">IF(A8="",0,C8*IFERROR(INDEX('Matérias-Primas'!$Q$5:$Q$45,MATCH(A8,'Matérias-Primas'!$A$5:$A$45,0)),0))</f>
        <v>0</v>
      </c>
      <c r="Q8" s="20" t="n">
        <f aca="false">IF(A8="",0,C8*IFERROR(INDEX('Matérias-Primas'!$R$5:$R$45,MATCH(A8,'Matérias-Primas'!$A$5:$A$45,0)),0))</f>
        <v>0</v>
      </c>
    </row>
    <row r="9" customFormat="false" ht="15" hidden="false" customHeight="false" outlineLevel="0" collapsed="false">
      <c r="A9" s="13" t="s">
        <v>62</v>
      </c>
      <c r="B9" s="15" t="n">
        <v>15</v>
      </c>
      <c r="C9" s="18" t="n">
        <f aca="false">IF(B9="","",B9/SUM($B$5:$B$14))</f>
        <v>0.15</v>
      </c>
      <c r="D9" s="19" t="n">
        <f aca="false">IF(A9="","",IFERROR(INDEX('Matérias-Primas'!$D$5:$D$45,MATCH(A9,'Matérias-Primas'!$A$5:$A$45,0)),0))</f>
        <v>2.5</v>
      </c>
      <c r="E9" s="20" t="n">
        <f aca="false">IF(A9="",0,C9*IFERROR(INDEX('Matérias-Primas'!$F$5:$F$45,MATCH(A9,'Matérias-Primas'!$A$5:$A$45,0)),0))</f>
        <v>6.975</v>
      </c>
      <c r="F9" s="20" t="n">
        <f aca="false">IF(A9="",0,C9*IFERROR(INDEX('Matérias-Primas'!$G$5:$G$45,MATCH(A9,'Matérias-Primas'!$A$5:$A$45,0)),0))</f>
        <v>5.925</v>
      </c>
      <c r="G9" s="20" t="n">
        <f aca="false">IF(A9="",0,C9*IFERROR(INDEX('Matérias-Primas'!$H$5:$H$45,MATCH(A9,'Matérias-Primas'!$A$5:$A$45,0)),0))</f>
        <v>0</v>
      </c>
      <c r="H9" s="20" t="n">
        <f aca="false">IF(A9="",0,C9*IFERROR(INDEX('Matérias-Primas'!$I$5:$I$45,MATCH(A9,'Matérias-Primas'!$A$5:$A$45,0)),0))</f>
        <v>0</v>
      </c>
      <c r="I9" s="20" t="n">
        <f aca="false">IF(A9="",0,C9*IFERROR(INDEX('Matérias-Primas'!$J$5:$J$45,MATCH(A9,'Matérias-Primas'!$A$5:$A$45,0)),0))</f>
        <v>0</v>
      </c>
      <c r="J9" s="20" t="n">
        <f aca="false">IF(A9="",0,C9*IFERROR(INDEX('Matérias-Primas'!$K$5:$K$45,MATCH(A9,'Matérias-Primas'!$A$5:$A$45,0)),0))</f>
        <v>0</v>
      </c>
      <c r="K9" s="20" t="n">
        <f aca="false">IF(A9="",0,C9*IFERROR(INDEX('Matérias-Primas'!$L$5:$L$45,MATCH(A9,'Matérias-Primas'!$A$5:$A$45,0)),0))</f>
        <v>0</v>
      </c>
      <c r="L9" s="20" t="n">
        <f aca="false">IF(A9="",0,C9*IFERROR(INDEX('Matérias-Primas'!$M$5:$M$45,MATCH(A9,'Matérias-Primas'!$A$5:$A$45,0)),0))</f>
        <v>0</v>
      </c>
      <c r="M9" s="20" t="n">
        <f aca="false">IF(A9="",0,C9*IFERROR(INDEX('Matérias-Primas'!$N$5:$N$45,MATCH(A9,'Matérias-Primas'!$A$5:$A$45,0)),0))</f>
        <v>0</v>
      </c>
      <c r="N9" s="20" t="n">
        <f aca="false">IF(A9="",0,C9*IFERROR(INDEX('Matérias-Primas'!$O$5:$O$45,MATCH(A9,'Matérias-Primas'!$A$5:$A$45,0)),0))</f>
        <v>0</v>
      </c>
      <c r="O9" s="20" t="n">
        <f aca="false">IF(A9="",0,C9*IFERROR(INDEX('Matérias-Primas'!$P$5:$P$45,MATCH(A9,'Matérias-Primas'!$A$5:$A$45,0)),0))</f>
        <v>0</v>
      </c>
      <c r="P9" s="20" t="n">
        <f aca="false">IF(A9="",0,C9*IFERROR(INDEX('Matérias-Primas'!$Q$5:$Q$45,MATCH(A9,'Matérias-Primas'!$A$5:$A$45,0)),0))</f>
        <v>0.015</v>
      </c>
      <c r="Q9" s="20" t="n">
        <f aca="false">IF(A9="",0,C9*IFERROR(INDEX('Matérias-Primas'!$R$5:$R$45,MATCH(A9,'Matérias-Primas'!$A$5:$A$45,0)),0))</f>
        <v>0</v>
      </c>
    </row>
    <row r="10" customFormat="false" ht="15" hidden="false" customHeight="false" outlineLevel="0" collapsed="false">
      <c r="A10" s="13" t="s">
        <v>64</v>
      </c>
      <c r="B10" s="15" t="n">
        <v>22</v>
      </c>
      <c r="C10" s="18" t="n">
        <f aca="false">IF(B10="","",B10/SUM($B$5:$B$14))</f>
        <v>0.22</v>
      </c>
      <c r="D10" s="19" t="n">
        <f aca="false">IF(A10="","",IFERROR(INDEX('Matérias-Primas'!$D$5:$D$45,MATCH(A10,'Matérias-Primas'!$A$5:$A$45,0)),0))</f>
        <v>2</v>
      </c>
      <c r="E10" s="20" t="n">
        <f aca="false">IF(A10="",0,C10*IFERROR(INDEX('Matérias-Primas'!$F$5:$F$45,MATCH(A10,'Matérias-Primas'!$A$5:$A$45,0)),0))</f>
        <v>22</v>
      </c>
      <c r="F10" s="20" t="n">
        <f aca="false">IF(A10="",0,C10*IFERROR(INDEX('Matérias-Primas'!$G$5:$G$45,MATCH(A10,'Matérias-Primas'!$A$5:$A$45,0)),0))</f>
        <v>0</v>
      </c>
      <c r="G10" s="20" t="n">
        <f aca="false">IF(A10="",0,C10*IFERROR(INDEX('Matérias-Primas'!$H$5:$H$45,MATCH(A10,'Matérias-Primas'!$A$5:$A$45,0)),0))</f>
        <v>0</v>
      </c>
      <c r="H10" s="20" t="n">
        <f aca="false">IF(A10="",0,C10*IFERROR(INDEX('Matérias-Primas'!$I$5:$I$45,MATCH(A10,'Matérias-Primas'!$A$5:$A$45,0)),0))</f>
        <v>0</v>
      </c>
      <c r="I10" s="20" t="n">
        <f aca="false">IF(A10="",0,C10*IFERROR(INDEX('Matérias-Primas'!$J$5:$J$45,MATCH(A10,'Matérias-Primas'!$A$5:$A$45,0)),0))</f>
        <v>0</v>
      </c>
      <c r="J10" s="20" t="n">
        <f aca="false">IF(A10="",0,C10*IFERROR(INDEX('Matérias-Primas'!$K$5:$K$45,MATCH(A10,'Matérias-Primas'!$A$5:$A$45,0)),0))</f>
        <v>0</v>
      </c>
      <c r="K10" s="20" t="n">
        <f aca="false">IF(A10="",0,C10*IFERROR(INDEX('Matérias-Primas'!$L$5:$L$45,MATCH(A10,'Matérias-Primas'!$A$5:$A$45,0)),0))</f>
        <v>0</v>
      </c>
      <c r="L10" s="20" t="n">
        <f aca="false">IF(A10="",0,C10*IFERROR(INDEX('Matérias-Primas'!$M$5:$M$45,MATCH(A10,'Matérias-Primas'!$A$5:$A$45,0)),0))</f>
        <v>0</v>
      </c>
      <c r="M10" s="20" t="n">
        <f aca="false">IF(A10="",0,C10*IFERROR(INDEX('Matérias-Primas'!$N$5:$N$45,MATCH(A10,'Matérias-Primas'!$A$5:$A$45,0)),0))</f>
        <v>0</v>
      </c>
      <c r="N10" s="20" t="n">
        <f aca="false">IF(A10="",0,C10*IFERROR(INDEX('Matérias-Primas'!$O$5:$O$45,MATCH(A10,'Matérias-Primas'!$A$5:$A$45,0)),0))</f>
        <v>0</v>
      </c>
      <c r="O10" s="20" t="n">
        <f aca="false">IF(A10="",0,C10*IFERROR(INDEX('Matérias-Primas'!$P$5:$P$45,MATCH(A10,'Matérias-Primas'!$A$5:$A$45,0)),0))</f>
        <v>0</v>
      </c>
      <c r="P10" s="20" t="n">
        <f aca="false">IF(A10="",0,C10*IFERROR(INDEX('Matérias-Primas'!$Q$5:$Q$45,MATCH(A10,'Matérias-Primas'!$A$5:$A$45,0)),0))</f>
        <v>0</v>
      </c>
      <c r="Q10" s="20" t="n">
        <f aca="false">IF(A10="",0,C10*IFERROR(INDEX('Matérias-Primas'!$R$5:$R$45,MATCH(A10,'Matérias-Primas'!$A$5:$A$45,0)),0))</f>
        <v>0</v>
      </c>
    </row>
    <row r="11" customFormat="false" ht="15" hidden="false" customHeight="false" outlineLevel="0" collapsed="false">
      <c r="A11" s="13"/>
      <c r="B11" s="15"/>
      <c r="C11" s="18" t="str">
        <f aca="false">IF(B11="","",B11/SUM($B$5:$B$14))</f>
        <v/>
      </c>
      <c r="D11" s="19" t="str">
        <f aca="false">IF(A11="","",IFERROR(INDEX('Matérias-Primas'!$D$5:$D$45,MATCH(A11,'Matérias-Primas'!$A$5:$A$45,0)),0))</f>
        <v/>
      </c>
      <c r="E11" s="20" t="n">
        <f aca="false">IF(A11="",0,C11*IFERROR(INDEX('Matérias-Primas'!$F$5:$F$45,MATCH(A11,'Matérias-Primas'!$A$5:$A$45,0)),0))</f>
        <v>0</v>
      </c>
      <c r="F11" s="20" t="n">
        <f aca="false">IF(A11="",0,C11*IFERROR(INDEX('Matérias-Primas'!$G$5:$G$45,MATCH(A11,'Matérias-Primas'!$A$5:$A$45,0)),0))</f>
        <v>0</v>
      </c>
      <c r="G11" s="20" t="n">
        <f aca="false">IF(A11="",0,C11*IFERROR(INDEX('Matérias-Primas'!$H$5:$H$45,MATCH(A11,'Matérias-Primas'!$A$5:$A$45,0)),0))</f>
        <v>0</v>
      </c>
      <c r="H11" s="20" t="n">
        <f aca="false">IF(A11="",0,C11*IFERROR(INDEX('Matérias-Primas'!$I$5:$I$45,MATCH(A11,'Matérias-Primas'!$A$5:$A$45,0)),0))</f>
        <v>0</v>
      </c>
      <c r="I11" s="20" t="n">
        <f aca="false">IF(A11="",0,C11*IFERROR(INDEX('Matérias-Primas'!$J$5:$J$45,MATCH(A11,'Matérias-Primas'!$A$5:$A$45,0)),0))</f>
        <v>0</v>
      </c>
      <c r="J11" s="20" t="n">
        <f aca="false">IF(A11="",0,C11*IFERROR(INDEX('Matérias-Primas'!$K$5:$K$45,MATCH(A11,'Matérias-Primas'!$A$5:$A$45,0)),0))</f>
        <v>0</v>
      </c>
      <c r="K11" s="20" t="n">
        <f aca="false">IF(A11="",0,C11*IFERROR(INDEX('Matérias-Primas'!$L$5:$L$45,MATCH(A11,'Matérias-Primas'!$A$5:$A$45,0)),0))</f>
        <v>0</v>
      </c>
      <c r="L11" s="20" t="n">
        <f aca="false">IF(A11="",0,C11*IFERROR(INDEX('Matérias-Primas'!$M$5:$M$45,MATCH(A11,'Matérias-Primas'!$A$5:$A$45,0)),0))</f>
        <v>0</v>
      </c>
      <c r="M11" s="20" t="n">
        <f aca="false">IF(A11="",0,C11*IFERROR(INDEX('Matérias-Primas'!$N$5:$N$45,MATCH(A11,'Matérias-Primas'!$A$5:$A$45,0)),0))</f>
        <v>0</v>
      </c>
      <c r="N11" s="20" t="n">
        <f aca="false">IF(A11="",0,C11*IFERROR(INDEX('Matérias-Primas'!$O$5:$O$45,MATCH(A11,'Matérias-Primas'!$A$5:$A$45,0)),0))</f>
        <v>0</v>
      </c>
      <c r="O11" s="20" t="n">
        <f aca="false">IF(A11="",0,C11*IFERROR(INDEX('Matérias-Primas'!$P$5:$P$45,MATCH(A11,'Matérias-Primas'!$A$5:$A$45,0)),0))</f>
        <v>0</v>
      </c>
      <c r="P11" s="20" t="n">
        <f aca="false">IF(A11="",0,C11*IFERROR(INDEX('Matérias-Primas'!$Q$5:$Q$45,MATCH(A11,'Matérias-Primas'!$A$5:$A$45,0)),0))</f>
        <v>0</v>
      </c>
      <c r="Q11" s="20" t="n">
        <f aca="false">IF(A11="",0,C11*IFERROR(INDEX('Matérias-Primas'!$R$5:$R$45,MATCH(A11,'Matérias-Primas'!$A$5:$A$45,0)),0))</f>
        <v>0</v>
      </c>
    </row>
    <row r="12" customFormat="false" ht="15" hidden="false" customHeight="false" outlineLevel="0" collapsed="false">
      <c r="A12" s="13"/>
      <c r="B12" s="15"/>
      <c r="C12" s="18" t="str">
        <f aca="false">IF(B12="","",B12/SUM($B$5:$B$14))</f>
        <v/>
      </c>
      <c r="D12" s="19" t="str">
        <f aca="false">IF(A12="","",IFERROR(INDEX('Matérias-Primas'!$D$5:$D$45,MATCH(A12,'Matérias-Primas'!$A$5:$A$45,0)),0))</f>
        <v/>
      </c>
      <c r="E12" s="20" t="n">
        <f aca="false">IF(A12="",0,C12*IFERROR(INDEX('Matérias-Primas'!$F$5:$F$45,MATCH(A12,'Matérias-Primas'!$A$5:$A$45,0)),0))</f>
        <v>0</v>
      </c>
      <c r="F12" s="20" t="n">
        <f aca="false">IF(A12="",0,C12*IFERROR(INDEX('Matérias-Primas'!$G$5:$G$45,MATCH(A12,'Matérias-Primas'!$A$5:$A$45,0)),0))</f>
        <v>0</v>
      </c>
      <c r="G12" s="20" t="n">
        <f aca="false">IF(A12="",0,C12*IFERROR(INDEX('Matérias-Primas'!$H$5:$H$45,MATCH(A12,'Matérias-Primas'!$A$5:$A$45,0)),0))</f>
        <v>0</v>
      </c>
      <c r="H12" s="20" t="n">
        <f aca="false">IF(A12="",0,C12*IFERROR(INDEX('Matérias-Primas'!$I$5:$I$45,MATCH(A12,'Matérias-Primas'!$A$5:$A$45,0)),0))</f>
        <v>0</v>
      </c>
      <c r="I12" s="20" t="n">
        <f aca="false">IF(A12="",0,C12*IFERROR(INDEX('Matérias-Primas'!$J$5:$J$45,MATCH(A12,'Matérias-Primas'!$A$5:$A$45,0)),0))</f>
        <v>0</v>
      </c>
      <c r="J12" s="20" t="n">
        <f aca="false">IF(A12="",0,C12*IFERROR(INDEX('Matérias-Primas'!$K$5:$K$45,MATCH(A12,'Matérias-Primas'!$A$5:$A$45,0)),0))</f>
        <v>0</v>
      </c>
      <c r="K12" s="20" t="n">
        <f aca="false">IF(A12="",0,C12*IFERROR(INDEX('Matérias-Primas'!$L$5:$L$45,MATCH(A12,'Matérias-Primas'!$A$5:$A$45,0)),0))</f>
        <v>0</v>
      </c>
      <c r="L12" s="20" t="n">
        <f aca="false">IF(A12="",0,C12*IFERROR(INDEX('Matérias-Primas'!$M$5:$M$45,MATCH(A12,'Matérias-Primas'!$A$5:$A$45,0)),0))</f>
        <v>0</v>
      </c>
      <c r="M12" s="20" t="n">
        <f aca="false">IF(A12="",0,C12*IFERROR(INDEX('Matérias-Primas'!$N$5:$N$45,MATCH(A12,'Matérias-Primas'!$A$5:$A$45,0)),0))</f>
        <v>0</v>
      </c>
      <c r="N12" s="20" t="n">
        <f aca="false">IF(A12="",0,C12*IFERROR(INDEX('Matérias-Primas'!$O$5:$O$45,MATCH(A12,'Matérias-Primas'!$A$5:$A$45,0)),0))</f>
        <v>0</v>
      </c>
      <c r="O12" s="20" t="n">
        <f aca="false">IF(A12="",0,C12*IFERROR(INDEX('Matérias-Primas'!$P$5:$P$45,MATCH(A12,'Matérias-Primas'!$A$5:$A$45,0)),0))</f>
        <v>0</v>
      </c>
      <c r="P12" s="20" t="n">
        <f aca="false">IF(A12="",0,C12*IFERROR(INDEX('Matérias-Primas'!$Q$5:$Q$45,MATCH(A12,'Matérias-Primas'!$A$5:$A$45,0)),0))</f>
        <v>0</v>
      </c>
      <c r="Q12" s="20" t="n">
        <f aca="false">IF(A12="",0,C12*IFERROR(INDEX('Matérias-Primas'!$R$5:$R$45,MATCH(A12,'Matérias-Primas'!$A$5:$A$45,0)),0))</f>
        <v>0</v>
      </c>
    </row>
    <row r="13" customFormat="false" ht="15" hidden="false" customHeight="false" outlineLevel="0" collapsed="false">
      <c r="A13" s="13"/>
      <c r="B13" s="15"/>
      <c r="C13" s="18" t="str">
        <f aca="false">IF(B13="","",B13/SUM($B$5:$B$14))</f>
        <v/>
      </c>
      <c r="D13" s="19" t="str">
        <f aca="false">IF(A13="","",IFERROR(INDEX('Matérias-Primas'!$D$5:$D$45,MATCH(A13,'Matérias-Primas'!$A$5:$A$45,0)),0))</f>
        <v/>
      </c>
      <c r="E13" s="20" t="n">
        <f aca="false">IF(A13="",0,C13*IFERROR(INDEX('Matérias-Primas'!$F$5:$F$45,MATCH(A13,'Matérias-Primas'!$A$5:$A$45,0)),0))</f>
        <v>0</v>
      </c>
      <c r="F13" s="20" t="n">
        <f aca="false">IF(A13="",0,C13*IFERROR(INDEX('Matérias-Primas'!$G$5:$G$45,MATCH(A13,'Matérias-Primas'!$A$5:$A$45,0)),0))</f>
        <v>0</v>
      </c>
      <c r="G13" s="20" t="n">
        <f aca="false">IF(A13="",0,C13*IFERROR(INDEX('Matérias-Primas'!$H$5:$H$45,MATCH(A13,'Matérias-Primas'!$A$5:$A$45,0)),0))</f>
        <v>0</v>
      </c>
      <c r="H13" s="20" t="n">
        <f aca="false">IF(A13="",0,C13*IFERROR(INDEX('Matérias-Primas'!$I$5:$I$45,MATCH(A13,'Matérias-Primas'!$A$5:$A$45,0)),0))</f>
        <v>0</v>
      </c>
      <c r="I13" s="20" t="n">
        <f aca="false">IF(A13="",0,C13*IFERROR(INDEX('Matérias-Primas'!$J$5:$J$45,MATCH(A13,'Matérias-Primas'!$A$5:$A$45,0)),0))</f>
        <v>0</v>
      </c>
      <c r="J13" s="20" t="n">
        <f aca="false">IF(A13="",0,C13*IFERROR(INDEX('Matérias-Primas'!$K$5:$K$45,MATCH(A13,'Matérias-Primas'!$A$5:$A$45,0)),0))</f>
        <v>0</v>
      </c>
      <c r="K13" s="20" t="n">
        <f aca="false">IF(A13="",0,C13*IFERROR(INDEX('Matérias-Primas'!$L$5:$L$45,MATCH(A13,'Matérias-Primas'!$A$5:$A$45,0)),0))</f>
        <v>0</v>
      </c>
      <c r="L13" s="20" t="n">
        <f aca="false">IF(A13="",0,C13*IFERROR(INDEX('Matérias-Primas'!$M$5:$M$45,MATCH(A13,'Matérias-Primas'!$A$5:$A$45,0)),0))</f>
        <v>0</v>
      </c>
      <c r="M13" s="20" t="n">
        <f aca="false">IF(A13="",0,C13*IFERROR(INDEX('Matérias-Primas'!$N$5:$N$45,MATCH(A13,'Matérias-Primas'!$A$5:$A$45,0)),0))</f>
        <v>0</v>
      </c>
      <c r="N13" s="20" t="n">
        <f aca="false">IF(A13="",0,C13*IFERROR(INDEX('Matérias-Primas'!$O$5:$O$45,MATCH(A13,'Matérias-Primas'!$A$5:$A$45,0)),0))</f>
        <v>0</v>
      </c>
      <c r="O13" s="20" t="n">
        <f aca="false">IF(A13="",0,C13*IFERROR(INDEX('Matérias-Primas'!$P$5:$P$45,MATCH(A13,'Matérias-Primas'!$A$5:$A$45,0)),0))</f>
        <v>0</v>
      </c>
      <c r="P13" s="20" t="n">
        <f aca="false">IF(A13="",0,C13*IFERROR(INDEX('Matérias-Primas'!$Q$5:$Q$45,MATCH(A13,'Matérias-Primas'!$A$5:$A$45,0)),0))</f>
        <v>0</v>
      </c>
      <c r="Q13" s="20" t="n">
        <f aca="false">IF(A13="",0,C13*IFERROR(INDEX('Matérias-Primas'!$R$5:$R$45,MATCH(A13,'Matérias-Primas'!$A$5:$A$45,0)),0))</f>
        <v>0</v>
      </c>
    </row>
    <row r="14" customFormat="false" ht="15" hidden="false" customHeight="false" outlineLevel="0" collapsed="false">
      <c r="A14" s="13"/>
      <c r="B14" s="15"/>
      <c r="C14" s="18" t="str">
        <f aca="false">IF(B14="","",B14/SUM($B$5:$B$14))</f>
        <v/>
      </c>
      <c r="D14" s="19" t="str">
        <f aca="false">IF(A14="","",IFERROR(INDEX('Matérias-Primas'!$D$5:$D$45,MATCH(A14,'Matérias-Primas'!$A$5:$A$45,0)),0))</f>
        <v/>
      </c>
      <c r="E14" s="20" t="n">
        <f aca="false">IF(A14="",0,C14*IFERROR(INDEX('Matérias-Primas'!$F$5:$F$45,MATCH(A14,'Matérias-Primas'!$A$5:$A$45,0)),0))</f>
        <v>0</v>
      </c>
      <c r="F14" s="20" t="n">
        <f aca="false">IF(A14="",0,C14*IFERROR(INDEX('Matérias-Primas'!$G$5:$G$45,MATCH(A14,'Matérias-Primas'!$A$5:$A$45,0)),0))</f>
        <v>0</v>
      </c>
      <c r="G14" s="20" t="n">
        <f aca="false">IF(A14="",0,C14*IFERROR(INDEX('Matérias-Primas'!$H$5:$H$45,MATCH(A14,'Matérias-Primas'!$A$5:$A$45,0)),0))</f>
        <v>0</v>
      </c>
      <c r="H14" s="20" t="n">
        <f aca="false">IF(A14="",0,C14*IFERROR(INDEX('Matérias-Primas'!$I$5:$I$45,MATCH(A14,'Matérias-Primas'!$A$5:$A$45,0)),0))</f>
        <v>0</v>
      </c>
      <c r="I14" s="20" t="n">
        <f aca="false">IF(A14="",0,C14*IFERROR(INDEX('Matérias-Primas'!$J$5:$J$45,MATCH(A14,'Matérias-Primas'!$A$5:$A$45,0)),0))</f>
        <v>0</v>
      </c>
      <c r="J14" s="20" t="n">
        <f aca="false">IF(A14="",0,C14*IFERROR(INDEX('Matérias-Primas'!$K$5:$K$45,MATCH(A14,'Matérias-Primas'!$A$5:$A$45,0)),0))</f>
        <v>0</v>
      </c>
      <c r="K14" s="20" t="n">
        <f aca="false">IF(A14="",0,C14*IFERROR(INDEX('Matérias-Primas'!$L$5:$L$45,MATCH(A14,'Matérias-Primas'!$A$5:$A$45,0)),0))</f>
        <v>0</v>
      </c>
      <c r="L14" s="20" t="n">
        <f aca="false">IF(A14="",0,C14*IFERROR(INDEX('Matérias-Primas'!$M$5:$M$45,MATCH(A14,'Matérias-Primas'!$A$5:$A$45,0)),0))</f>
        <v>0</v>
      </c>
      <c r="M14" s="20" t="n">
        <f aca="false">IF(A14="",0,C14*IFERROR(INDEX('Matérias-Primas'!$N$5:$N$45,MATCH(A14,'Matérias-Primas'!$A$5:$A$45,0)),0))</f>
        <v>0</v>
      </c>
      <c r="N14" s="20" t="n">
        <f aca="false">IF(A14="",0,C14*IFERROR(INDEX('Matérias-Primas'!$O$5:$O$45,MATCH(A14,'Matérias-Primas'!$A$5:$A$45,0)),0))</f>
        <v>0</v>
      </c>
      <c r="O14" s="20" t="n">
        <f aca="false">IF(A14="",0,C14*IFERROR(INDEX('Matérias-Primas'!$P$5:$P$45,MATCH(A14,'Matérias-Primas'!$A$5:$A$45,0)),0))</f>
        <v>0</v>
      </c>
      <c r="P14" s="20" t="n">
        <f aca="false">IF(A14="",0,C14*IFERROR(INDEX('Matérias-Primas'!$Q$5:$Q$45,MATCH(A14,'Matérias-Primas'!$A$5:$A$45,0)),0))</f>
        <v>0</v>
      </c>
      <c r="Q14" s="20" t="n">
        <f aca="false">IF(A14="",0,C14*IFERROR(INDEX('Matérias-Primas'!$R$5:$R$45,MATCH(A14,'Matérias-Primas'!$A$5:$A$45,0)),0))</f>
        <v>0</v>
      </c>
    </row>
    <row r="15" customFormat="false" ht="15" hidden="false" customHeight="false" outlineLevel="0" collapsed="false">
      <c r="A15" s="5" t="s">
        <v>123</v>
      </c>
      <c r="B15" s="21" t="n">
        <f aca="false">SUM(B5:B14)</f>
        <v>100</v>
      </c>
      <c r="C15" s="22" t="n">
        <f aca="false">SUM(C5:C14)</f>
        <v>1</v>
      </c>
      <c r="D15" s="2"/>
      <c r="E15" s="23" t="n">
        <f aca="false">SUM(E5:E14)</f>
        <v>59.265</v>
      </c>
      <c r="F15" s="23" t="n">
        <f aca="false">SUM(F5:F14)</f>
        <v>10.55</v>
      </c>
      <c r="G15" s="23" t="n">
        <f aca="false">SUM(G5:G14)</f>
        <v>4.158</v>
      </c>
      <c r="H15" s="23" t="n">
        <f aca="false">SUM(H5:H14)</f>
        <v>2.604</v>
      </c>
      <c r="I15" s="23" t="n">
        <f aca="false">SUM(I5:I14)</f>
        <v>2.75</v>
      </c>
      <c r="J15" s="23" t="n">
        <f aca="false">SUM(J5:J14)</f>
        <v>0</v>
      </c>
      <c r="K15" s="23" t="n">
        <f aca="false">SUM(K5:K14)</f>
        <v>8.498</v>
      </c>
      <c r="L15" s="23" t="n">
        <f aca="false">SUM(L5:L14)</f>
        <v>0</v>
      </c>
      <c r="M15" s="23" t="n">
        <f aca="false">SUM(M5:M14)</f>
        <v>7.02</v>
      </c>
      <c r="N15" s="23" t="n">
        <f aca="false">SUM(N5:N14)</f>
        <v>0</v>
      </c>
      <c r="O15" s="23" t="n">
        <f aca="false">SUM(O5:O14)</f>
        <v>0</v>
      </c>
      <c r="P15" s="23" t="n">
        <f aca="false">SUM(P5:P14)</f>
        <v>0.04</v>
      </c>
      <c r="Q15" s="23" t="n">
        <f aca="false">SUM(Q5:Q14)</f>
        <v>0</v>
      </c>
    </row>
    <row r="16" customFormat="false" ht="15" hidden="false" customHeight="false" outlineLevel="0" collapsed="false">
      <c r="A16" s="5" t="s">
        <v>124</v>
      </c>
      <c r="B16" s="2"/>
      <c r="C16" s="2"/>
      <c r="D16" s="2"/>
      <c r="E16" s="24" t="n">
        <f aca="false">'Matérias-Primas'!F3</f>
        <v>60.08</v>
      </c>
      <c r="F16" s="24" t="n">
        <f aca="false">'Matérias-Primas'!G3</f>
        <v>101.96</v>
      </c>
      <c r="G16" s="24" t="n">
        <f aca="false">'Matérias-Primas'!H3</f>
        <v>69.62</v>
      </c>
      <c r="H16" s="24" t="n">
        <f aca="false">'Matérias-Primas'!I3</f>
        <v>61.98</v>
      </c>
      <c r="I16" s="24" t="n">
        <f aca="false">'Matérias-Primas'!J3</f>
        <v>94.2</v>
      </c>
      <c r="J16" s="24" t="n">
        <f aca="false">'Matérias-Primas'!K3</f>
        <v>29.88</v>
      </c>
      <c r="K16" s="24" t="n">
        <f aca="false">'Matérias-Primas'!L3</f>
        <v>56.08</v>
      </c>
      <c r="L16" s="24" t="n">
        <f aca="false">'Matérias-Primas'!M3</f>
        <v>40.3</v>
      </c>
      <c r="M16" s="24" t="n">
        <f aca="false">'Matérias-Primas'!N3</f>
        <v>103.62</v>
      </c>
      <c r="N16" s="24" t="n">
        <f aca="false">'Matérias-Primas'!O3</f>
        <v>81.38</v>
      </c>
      <c r="O16" s="24" t="n">
        <f aca="false">'Matérias-Primas'!P3</f>
        <v>123.22</v>
      </c>
      <c r="P16" s="24" t="n">
        <f aca="false">'Matérias-Primas'!Q3</f>
        <v>159.69</v>
      </c>
      <c r="Q16" s="24" t="n">
        <f aca="false">'Matérias-Primas'!R3</f>
        <v>79.87</v>
      </c>
    </row>
    <row r="17" customFormat="false" ht="15" hidden="false" customHeight="false" outlineLevel="0" collapsed="false">
      <c r="A17" s="5" t="s">
        <v>125</v>
      </c>
      <c r="B17" s="2"/>
      <c r="C17" s="3" t="s">
        <v>126</v>
      </c>
      <c r="D17" s="25" t="n">
        <f aca="false">H17+I17+J17+K17+L17+M17+N17</f>
        <v>0.290487821326675</v>
      </c>
      <c r="E17" s="25" t="n">
        <f aca="false">E15/E16</f>
        <v>0.986434753661784</v>
      </c>
      <c r="F17" s="25" t="n">
        <f aca="false">F15/F16</f>
        <v>0.103471949784229</v>
      </c>
      <c r="G17" s="25" t="n">
        <f aca="false">G15/G16</f>
        <v>0.0597242171789716</v>
      </c>
      <c r="H17" s="25" t="n">
        <f aca="false">H15/H16</f>
        <v>0.0420135527589545</v>
      </c>
      <c r="I17" s="25" t="n">
        <f aca="false">I15/I16</f>
        <v>0.0291932059447983</v>
      </c>
      <c r="J17" s="25" t="n">
        <f aca="false">J15/J16</f>
        <v>0</v>
      </c>
      <c r="K17" s="25" t="n">
        <f aca="false">K15/K16</f>
        <v>0.151533523537803</v>
      </c>
      <c r="L17" s="25" t="n">
        <f aca="false">L15/L16</f>
        <v>0</v>
      </c>
      <c r="M17" s="25" t="n">
        <f aca="false">M15/M16</f>
        <v>0.0677475390851187</v>
      </c>
      <c r="N17" s="25" t="n">
        <f aca="false">N15/N16</f>
        <v>0</v>
      </c>
      <c r="O17" s="25" t="n">
        <f aca="false">O15/O16</f>
        <v>0</v>
      </c>
      <c r="P17" s="25" t="n">
        <f aca="false">P15/P16</f>
        <v>0.000250485315298391</v>
      </c>
      <c r="Q17" s="25" t="n">
        <f aca="false">Q15/Q16</f>
        <v>0</v>
      </c>
    </row>
    <row r="18" customFormat="false" ht="15" hidden="false" customHeight="false" outlineLevel="0" collapsed="false">
      <c r="A18" s="5" t="s">
        <v>127</v>
      </c>
      <c r="B18" s="2"/>
      <c r="C18" s="2"/>
      <c r="D18" s="2"/>
      <c r="E18" s="26" t="n">
        <f aca="false">IF($D$17=0,0,E17/$D$17)</f>
        <v>3.39578695298371</v>
      </c>
      <c r="F18" s="26" t="n">
        <f aca="false">IF($D$17=0,0,F17/$D$17)</f>
        <v>0.356200646593949</v>
      </c>
      <c r="G18" s="26" t="n">
        <f aca="false">IF($D$17=0,0,G17/$D$17)</f>
        <v>0.205599728436833</v>
      </c>
      <c r="H18" s="26" t="n">
        <f aca="false">IF($D$17=0,0,H17/$D$17)</f>
        <v>0.14463102985549</v>
      </c>
      <c r="I18" s="26" t="n">
        <f aca="false">IF($D$17=0,0,I17/$D$17)</f>
        <v>0.100497176823012</v>
      </c>
      <c r="J18" s="26" t="n">
        <f aca="false">IF($D$17=0,0,J17/$D$17)</f>
        <v>0</v>
      </c>
      <c r="K18" s="26" t="n">
        <f aca="false">IF($D$17=0,0,K17/$D$17)</f>
        <v>0.521651898677682</v>
      </c>
      <c r="L18" s="26" t="n">
        <f aca="false">IF($D$17=0,0,L17/$D$17)</f>
        <v>0</v>
      </c>
      <c r="M18" s="26" t="n">
        <f aca="false">IF($D$17=0,0,M17/$D$17)</f>
        <v>0.233219894643816</v>
      </c>
      <c r="N18" s="26" t="n">
        <f aca="false">IF($D$17=0,0,N17/$D$17)</f>
        <v>0</v>
      </c>
      <c r="O18" s="26" t="n">
        <f aca="false">IF($D$17=0,0,O17/$D$17)</f>
        <v>0</v>
      </c>
      <c r="P18" s="26" t="n">
        <f aca="false">IF($D$17=0,0,P17/$D$17)</f>
        <v>0.000862291968573449</v>
      </c>
      <c r="Q18" s="26" t="n">
        <f aca="false">IF($D$17=0,0,Q17/$D$17)</f>
        <v>0</v>
      </c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customFormat="false" ht="15" hidden="false" customHeight="false" outlineLevel="0" collapsed="false">
      <c r="A20" s="4" t="s">
        <v>128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customFormat="false" ht="15" hidden="false" customHeight="false" outlineLevel="0" collapsed="false">
      <c r="A21" s="12" t="s">
        <v>129</v>
      </c>
      <c r="B21" s="12" t="s">
        <v>130</v>
      </c>
      <c r="C21" s="12" t="s">
        <v>131</v>
      </c>
      <c r="D21" s="12" t="s">
        <v>132</v>
      </c>
      <c r="E21" s="12" t="s">
        <v>133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customFormat="false" ht="15" hidden="false" customHeight="false" outlineLevel="0" collapsed="false">
      <c r="A22" s="27" t="s">
        <v>134</v>
      </c>
      <c r="B22" s="28" t="n">
        <f aca="false">E18</f>
        <v>3.39578695298371</v>
      </c>
      <c r="C22" s="29" t="n">
        <v>3</v>
      </c>
      <c r="D22" s="29" t="n">
        <v>4</v>
      </c>
      <c r="E22" s="30" t="str">
        <f aca="false">IF(AND(B22&gt;=C22,B22&lt;=D22),"OK","Ajustar")</f>
        <v>OK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customFormat="false" ht="15" hidden="false" customHeight="false" outlineLevel="0" collapsed="false">
      <c r="A23" s="27" t="s">
        <v>135</v>
      </c>
      <c r="B23" s="28" t="n">
        <f aca="false">F18</f>
        <v>0.356200646593949</v>
      </c>
      <c r="C23" s="29" t="n">
        <v>0.3</v>
      </c>
      <c r="D23" s="29" t="n">
        <v>0.4</v>
      </c>
      <c r="E23" s="30" t="str">
        <f aca="false">IF(AND(B23&gt;=C23,B23&lt;=D23),"OK","Ajustar")</f>
        <v>OK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customFormat="false" ht="15" hidden="false" customHeight="false" outlineLevel="0" collapsed="false">
      <c r="A24" s="27" t="s">
        <v>136</v>
      </c>
      <c r="B24" s="28" t="n">
        <f aca="false">G18</f>
        <v>0.205599728436833</v>
      </c>
      <c r="C24" s="29" t="n">
        <v>0.1</v>
      </c>
      <c r="D24" s="29" t="n">
        <v>0.3</v>
      </c>
      <c r="E24" s="30" t="str">
        <f aca="false">IF(AND(B24&gt;=C24,B24&lt;=D24),"OK","Ajustar")</f>
        <v>OK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customFormat="false" ht="15" hidden="false" customHeight="false" outlineLevel="0" collapsed="false">
      <c r="A25" s="27" t="s">
        <v>137</v>
      </c>
      <c r="B25" s="28" t="n">
        <f aca="false">IF(F18=0,0,E18/F18)</f>
        <v>9.53335426382517</v>
      </c>
      <c r="C25" s="29" t="n">
        <v>8</v>
      </c>
      <c r="D25" s="29" t="n">
        <v>10</v>
      </c>
      <c r="E25" s="30" t="str">
        <f aca="false">IF(AND(B25&gt;=C25,B25&lt;=D25),"OK","Ajustar")</f>
        <v>OK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customFormat="false" ht="15" hidden="false" customHeight="false" outlineLevel="0" collapsed="false">
      <c r="A27" s="5" t="s">
        <v>138</v>
      </c>
      <c r="B27" s="31" t="n">
        <f aca="false">SUMPRODUCT(C5:C14,D5:D14)</f>
        <v>8.69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customFormat="false" ht="15" hidden="false" customHeight="false" outlineLevel="0" collapsed="false">
      <c r="A28" s="3" t="s">
        <v>139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</sheetData>
  <conditionalFormatting sqref="E22:E25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"Ajustar"</formula>
    </cfRule>
  </conditionalFormatting>
  <dataValidations count="1">
    <dataValidation allowBlank="true" errorStyle="stop" operator="between" showDropDown="false" showErrorMessage="false" showInputMessage="false" sqref="A5:A14" type="list">
      <formula1>'Matérias-Primas'!$A$5:$A$45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7" min="2" style="0" width="11"/>
  </cols>
  <sheetData>
    <row r="1" customFormat="false" ht="17.35" hidden="false" customHeight="false" outlineLevel="0" collapsed="false">
      <c r="A1" s="1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false" outlineLevel="0" collapsed="false">
      <c r="A2" s="3" t="s">
        <v>145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2"/>
      <c r="B3" s="2"/>
      <c r="C3" s="2"/>
      <c r="D3" s="2"/>
      <c r="E3" s="3" t="s">
        <v>107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35.05" hidden="false" customHeight="false" outlineLevel="0" collapsed="false">
      <c r="A4" s="12" t="s">
        <v>40</v>
      </c>
      <c r="B4" s="12" t="s">
        <v>108</v>
      </c>
      <c r="C4" s="12" t="s">
        <v>109</v>
      </c>
      <c r="D4" s="12" t="s">
        <v>43</v>
      </c>
      <c r="E4" s="12" t="s">
        <v>110</v>
      </c>
      <c r="F4" s="12" t="s">
        <v>111</v>
      </c>
      <c r="G4" s="12" t="s">
        <v>112</v>
      </c>
      <c r="H4" s="12" t="s">
        <v>113</v>
      </c>
      <c r="I4" s="12" t="s">
        <v>114</v>
      </c>
      <c r="J4" s="12" t="s">
        <v>115</v>
      </c>
      <c r="K4" s="12" t="s">
        <v>116</v>
      </c>
      <c r="L4" s="12" t="s">
        <v>117</v>
      </c>
      <c r="M4" s="12" t="s">
        <v>118</v>
      </c>
      <c r="N4" s="12" t="s">
        <v>119</v>
      </c>
      <c r="O4" s="12" t="s">
        <v>120</v>
      </c>
      <c r="P4" s="12" t="s">
        <v>121</v>
      </c>
      <c r="Q4" s="12" t="s">
        <v>122</v>
      </c>
    </row>
    <row r="5" customFormat="false" ht="15" hidden="false" customHeight="false" outlineLevel="0" collapsed="false">
      <c r="A5" s="13" t="s">
        <v>72</v>
      </c>
      <c r="B5" s="15" t="n">
        <v>30</v>
      </c>
      <c r="C5" s="18" t="n">
        <f aca="false">IF(B5="","",B5/SUM($B$5:$B$14))</f>
        <v>0.3</v>
      </c>
      <c r="D5" s="19" t="n">
        <f aca="false">IF(A5="","",IFERROR(INDEX('Matérias-Primas'!$D$5:$D$45,MATCH(A5,'Matérias-Primas'!$A$5:$A$45,0)),0))</f>
        <v>15</v>
      </c>
      <c r="E5" s="20" t="n">
        <f aca="false">IF(A5="",0,C5*IFERROR(INDEX('Matérias-Primas'!$F$5:$F$45,MATCH(A5,'Matérias-Primas'!$A$5:$A$45,0)),0))</f>
        <v>13.95</v>
      </c>
      <c r="F5" s="20" t="n">
        <f aca="false">IF(A5="",0,C5*IFERROR(INDEX('Matérias-Primas'!$G$5:$G$45,MATCH(A5,'Matérias-Primas'!$A$5:$A$45,0)),0))</f>
        <v>0</v>
      </c>
      <c r="G5" s="20" t="n">
        <f aca="false">IF(A5="",0,C5*IFERROR(INDEX('Matérias-Primas'!$H$5:$H$45,MATCH(A5,'Matérias-Primas'!$A$5:$A$45,0)),0))</f>
        <v>6.93</v>
      </c>
      <c r="H5" s="20" t="n">
        <f aca="false">IF(A5="",0,C5*IFERROR(INDEX('Matérias-Primas'!$I$5:$I$45,MATCH(A5,'Matérias-Primas'!$A$5:$A$45,0)),0))</f>
        <v>3.09</v>
      </c>
      <c r="I5" s="20" t="n">
        <f aca="false">IF(A5="",0,C5*IFERROR(INDEX('Matérias-Primas'!$J$5:$J$45,MATCH(A5,'Matérias-Primas'!$A$5:$A$45,0)),0))</f>
        <v>0</v>
      </c>
      <c r="J5" s="20" t="n">
        <f aca="false">IF(A5="",0,C5*IFERROR(INDEX('Matérias-Primas'!$K$5:$K$45,MATCH(A5,'Matérias-Primas'!$A$5:$A$45,0)),0))</f>
        <v>0</v>
      </c>
      <c r="K5" s="20" t="n">
        <f aca="false">IF(A5="",0,C5*IFERROR(INDEX('Matérias-Primas'!$L$5:$L$45,MATCH(A5,'Matérias-Primas'!$A$5:$A$45,0)),0))</f>
        <v>6.03</v>
      </c>
      <c r="L5" s="20" t="n">
        <f aca="false">IF(A5="",0,C5*IFERROR(INDEX('Matérias-Primas'!$M$5:$M$45,MATCH(A5,'Matérias-Primas'!$A$5:$A$45,0)),0))</f>
        <v>0</v>
      </c>
      <c r="M5" s="20" t="n">
        <f aca="false">IF(A5="",0,C5*IFERROR(INDEX('Matérias-Primas'!$N$5:$N$45,MATCH(A5,'Matérias-Primas'!$A$5:$A$45,0)),0))</f>
        <v>0</v>
      </c>
      <c r="N5" s="20" t="n">
        <f aca="false">IF(A5="",0,C5*IFERROR(INDEX('Matérias-Primas'!$O$5:$O$45,MATCH(A5,'Matérias-Primas'!$A$5:$A$45,0)),0))</f>
        <v>0</v>
      </c>
      <c r="O5" s="20" t="n">
        <f aca="false">IF(A5="",0,C5*IFERROR(INDEX('Matérias-Primas'!$P$5:$P$45,MATCH(A5,'Matérias-Primas'!$A$5:$A$45,0)),0))</f>
        <v>0</v>
      </c>
      <c r="P5" s="20" t="n">
        <f aca="false">IF(A5="",0,C5*IFERROR(INDEX('Matérias-Primas'!$Q$5:$Q$45,MATCH(A5,'Matérias-Primas'!$A$5:$A$45,0)),0))</f>
        <v>0</v>
      </c>
      <c r="Q5" s="20" t="n">
        <f aca="false">IF(A5="",0,C5*IFERROR(INDEX('Matérias-Primas'!$R$5:$R$45,MATCH(A5,'Matérias-Primas'!$A$5:$A$45,0)),0))</f>
        <v>0</v>
      </c>
    </row>
    <row r="6" customFormat="false" ht="15" hidden="false" customHeight="false" outlineLevel="0" collapsed="false">
      <c r="A6" s="13" t="s">
        <v>59</v>
      </c>
      <c r="B6" s="15" t="n">
        <v>20</v>
      </c>
      <c r="C6" s="18" t="n">
        <f aca="false">IF(B6="","",B6/SUM($B$5:$B$14))</f>
        <v>0.2</v>
      </c>
      <c r="D6" s="19" t="n">
        <f aca="false">IF(A6="","",IFERROR(INDEX('Matérias-Primas'!$D$5:$D$45,MATCH(A6,'Matérias-Primas'!$A$5:$A$45,0)),0))</f>
        <v>3.5</v>
      </c>
      <c r="E6" s="20" t="n">
        <f aca="false">IF(A6="",0,C6*IFERROR(INDEX('Matérias-Primas'!$F$5:$F$45,MATCH(A6,'Matérias-Primas'!$A$5:$A$45,0)),0))</f>
        <v>13.4</v>
      </c>
      <c r="F6" s="20" t="n">
        <f aca="false">IF(A6="",0,C6*IFERROR(INDEX('Matérias-Primas'!$G$5:$G$45,MATCH(A6,'Matérias-Primas'!$A$5:$A$45,0)),0))</f>
        <v>3.7</v>
      </c>
      <c r="G6" s="20" t="n">
        <f aca="false">IF(A6="",0,C6*IFERROR(INDEX('Matérias-Primas'!$H$5:$H$45,MATCH(A6,'Matérias-Primas'!$A$5:$A$45,0)),0))</f>
        <v>0</v>
      </c>
      <c r="H6" s="20" t="n">
        <f aca="false">IF(A6="",0,C6*IFERROR(INDEX('Matérias-Primas'!$I$5:$I$45,MATCH(A6,'Matérias-Primas'!$A$5:$A$45,0)),0))</f>
        <v>0.6</v>
      </c>
      <c r="I6" s="20" t="n">
        <f aca="false">IF(A6="",0,C6*IFERROR(INDEX('Matérias-Primas'!$J$5:$J$45,MATCH(A6,'Matérias-Primas'!$A$5:$A$45,0)),0))</f>
        <v>2.2</v>
      </c>
      <c r="J6" s="20" t="n">
        <f aca="false">IF(A6="",0,C6*IFERROR(INDEX('Matérias-Primas'!$K$5:$K$45,MATCH(A6,'Matérias-Primas'!$A$5:$A$45,0)),0))</f>
        <v>0</v>
      </c>
      <c r="K6" s="20" t="n">
        <f aca="false">IF(A6="",0,C6*IFERROR(INDEX('Matérias-Primas'!$L$5:$L$45,MATCH(A6,'Matérias-Primas'!$A$5:$A$45,0)),0))</f>
        <v>0.04</v>
      </c>
      <c r="L6" s="20" t="n">
        <f aca="false">IF(A6="",0,C6*IFERROR(INDEX('Matérias-Primas'!$M$5:$M$45,MATCH(A6,'Matérias-Primas'!$A$5:$A$45,0)),0))</f>
        <v>0</v>
      </c>
      <c r="M6" s="20" t="n">
        <f aca="false">IF(A6="",0,C6*IFERROR(INDEX('Matérias-Primas'!$N$5:$N$45,MATCH(A6,'Matérias-Primas'!$A$5:$A$45,0)),0))</f>
        <v>0</v>
      </c>
      <c r="N6" s="20" t="n">
        <f aca="false">IF(A6="",0,C6*IFERROR(INDEX('Matérias-Primas'!$O$5:$O$45,MATCH(A6,'Matérias-Primas'!$A$5:$A$45,0)),0))</f>
        <v>0</v>
      </c>
      <c r="O6" s="20" t="n">
        <f aca="false">IF(A6="",0,C6*IFERROR(INDEX('Matérias-Primas'!$P$5:$P$45,MATCH(A6,'Matérias-Primas'!$A$5:$A$45,0)),0))</f>
        <v>0</v>
      </c>
      <c r="P6" s="20" t="n">
        <f aca="false">IF(A6="",0,C6*IFERROR(INDEX('Matérias-Primas'!$Q$5:$Q$45,MATCH(A6,'Matérias-Primas'!$A$5:$A$45,0)),0))</f>
        <v>0.02</v>
      </c>
      <c r="Q6" s="20" t="n">
        <f aca="false">IF(A6="",0,C6*IFERROR(INDEX('Matérias-Primas'!$R$5:$R$45,MATCH(A6,'Matérias-Primas'!$A$5:$A$45,0)),0))</f>
        <v>0</v>
      </c>
    </row>
    <row r="7" customFormat="false" ht="15" hidden="false" customHeight="false" outlineLevel="0" collapsed="false">
      <c r="A7" s="13" t="s">
        <v>70</v>
      </c>
      <c r="B7" s="15" t="n">
        <v>8</v>
      </c>
      <c r="C7" s="18" t="n">
        <f aca="false">IF(B7="","",B7/SUM($B$5:$B$14))</f>
        <v>0.08</v>
      </c>
      <c r="D7" s="19" t="n">
        <f aca="false">IF(A7="","",IFERROR(INDEX('Matérias-Primas'!$D$5:$D$45,MATCH(A7,'Matérias-Primas'!$A$5:$A$45,0)),0))</f>
        <v>35</v>
      </c>
      <c r="E7" s="20" t="n">
        <f aca="false">IF(A7="",0,C7*IFERROR(INDEX('Matérias-Primas'!$F$5:$F$45,MATCH(A7,'Matérias-Primas'!$A$5:$A$45,0)),0))</f>
        <v>0</v>
      </c>
      <c r="F7" s="20" t="n">
        <f aca="false">IF(A7="",0,C7*IFERROR(INDEX('Matérias-Primas'!$G$5:$G$45,MATCH(A7,'Matérias-Primas'!$A$5:$A$45,0)),0))</f>
        <v>0</v>
      </c>
      <c r="G7" s="20" t="n">
        <f aca="false">IF(A7="",0,C7*IFERROR(INDEX('Matérias-Primas'!$H$5:$H$45,MATCH(A7,'Matérias-Primas'!$A$5:$A$45,0)),0))</f>
        <v>0</v>
      </c>
      <c r="H7" s="20" t="n">
        <f aca="false">IF(A7="",0,C7*IFERROR(INDEX('Matérias-Primas'!$I$5:$I$45,MATCH(A7,'Matérias-Primas'!$A$5:$A$45,0)),0))</f>
        <v>0</v>
      </c>
      <c r="I7" s="20" t="n">
        <f aca="false">IF(A7="",0,C7*IFERROR(INDEX('Matérias-Primas'!$J$5:$J$45,MATCH(A7,'Matérias-Primas'!$A$5:$A$45,0)),0))</f>
        <v>0</v>
      </c>
      <c r="J7" s="20" t="n">
        <f aca="false">IF(A7="",0,C7*IFERROR(INDEX('Matérias-Primas'!$K$5:$K$45,MATCH(A7,'Matérias-Primas'!$A$5:$A$45,0)),0))</f>
        <v>0</v>
      </c>
      <c r="K7" s="20" t="n">
        <f aca="false">IF(A7="",0,C7*IFERROR(INDEX('Matérias-Primas'!$L$5:$L$45,MATCH(A7,'Matérias-Primas'!$A$5:$A$45,0)),0))</f>
        <v>0</v>
      </c>
      <c r="L7" s="20" t="n">
        <f aca="false">IF(A7="",0,C7*IFERROR(INDEX('Matérias-Primas'!$M$5:$M$45,MATCH(A7,'Matérias-Primas'!$A$5:$A$45,0)),0))</f>
        <v>0</v>
      </c>
      <c r="M7" s="20" t="n">
        <f aca="false">IF(A7="",0,C7*IFERROR(INDEX('Matérias-Primas'!$N$5:$N$45,MATCH(A7,'Matérias-Primas'!$A$5:$A$45,0)),0))</f>
        <v>5.616</v>
      </c>
      <c r="N7" s="20" t="n">
        <f aca="false">IF(A7="",0,C7*IFERROR(INDEX('Matérias-Primas'!$O$5:$O$45,MATCH(A7,'Matérias-Primas'!$A$5:$A$45,0)),0))</f>
        <v>0</v>
      </c>
      <c r="O7" s="20" t="n">
        <f aca="false">IF(A7="",0,C7*IFERROR(INDEX('Matérias-Primas'!$P$5:$P$45,MATCH(A7,'Matérias-Primas'!$A$5:$A$45,0)),0))</f>
        <v>0</v>
      </c>
      <c r="P7" s="20" t="n">
        <f aca="false">IF(A7="",0,C7*IFERROR(INDEX('Matérias-Primas'!$Q$5:$Q$45,MATCH(A7,'Matérias-Primas'!$A$5:$A$45,0)),0))</f>
        <v>0</v>
      </c>
      <c r="Q7" s="20" t="n">
        <f aca="false">IF(A7="",0,C7*IFERROR(INDEX('Matérias-Primas'!$R$5:$R$45,MATCH(A7,'Matérias-Primas'!$A$5:$A$45,0)),0))</f>
        <v>0</v>
      </c>
    </row>
    <row r="8" customFormat="false" ht="15" hidden="false" customHeight="false" outlineLevel="0" collapsed="false">
      <c r="A8" s="13" t="s">
        <v>66</v>
      </c>
      <c r="B8" s="15" t="n">
        <v>7</v>
      </c>
      <c r="C8" s="18" t="n">
        <f aca="false">IF(B8="","",B8/SUM($B$5:$B$14))</f>
        <v>0.07</v>
      </c>
      <c r="D8" s="19" t="n">
        <f aca="false">IF(A8="","",IFERROR(INDEX('Matérias-Primas'!$D$5:$D$45,MATCH(A8,'Matérias-Primas'!$A$5:$A$45,0)),0))</f>
        <v>8</v>
      </c>
      <c r="E8" s="20" t="n">
        <f aca="false">IF(A8="",0,C8*IFERROR(INDEX('Matérias-Primas'!$F$5:$F$45,MATCH(A8,'Matérias-Primas'!$A$5:$A$45,0)),0))</f>
        <v>3.619</v>
      </c>
      <c r="F8" s="20" t="n">
        <f aca="false">IF(A8="",0,C8*IFERROR(INDEX('Matérias-Primas'!$G$5:$G$45,MATCH(A8,'Matérias-Primas'!$A$5:$A$45,0)),0))</f>
        <v>0</v>
      </c>
      <c r="G8" s="20" t="n">
        <f aca="false">IF(A8="",0,C8*IFERROR(INDEX('Matérias-Primas'!$H$5:$H$45,MATCH(A8,'Matérias-Primas'!$A$5:$A$45,0)),0))</f>
        <v>0</v>
      </c>
      <c r="H8" s="20" t="n">
        <f aca="false">IF(A8="",0,C8*IFERROR(INDEX('Matérias-Primas'!$I$5:$I$45,MATCH(A8,'Matérias-Primas'!$A$5:$A$45,0)),0))</f>
        <v>0</v>
      </c>
      <c r="I8" s="20" t="n">
        <f aca="false">IF(A8="",0,C8*IFERROR(INDEX('Matérias-Primas'!$J$5:$J$45,MATCH(A8,'Matérias-Primas'!$A$5:$A$45,0)),0))</f>
        <v>0</v>
      </c>
      <c r="J8" s="20" t="n">
        <f aca="false">IF(A8="",0,C8*IFERROR(INDEX('Matérias-Primas'!$K$5:$K$45,MATCH(A8,'Matérias-Primas'!$A$5:$A$45,0)),0))</f>
        <v>0</v>
      </c>
      <c r="K8" s="20" t="n">
        <f aca="false">IF(A8="",0,C8*IFERROR(INDEX('Matérias-Primas'!$L$5:$L$45,MATCH(A8,'Matérias-Primas'!$A$5:$A$45,0)),0))</f>
        <v>3.381</v>
      </c>
      <c r="L8" s="20" t="n">
        <f aca="false">IF(A8="",0,C8*IFERROR(INDEX('Matérias-Primas'!$M$5:$M$45,MATCH(A8,'Matérias-Primas'!$A$5:$A$45,0)),0))</f>
        <v>0</v>
      </c>
      <c r="M8" s="20" t="n">
        <f aca="false">IF(A8="",0,C8*IFERROR(INDEX('Matérias-Primas'!$N$5:$N$45,MATCH(A8,'Matérias-Primas'!$A$5:$A$45,0)),0))</f>
        <v>0</v>
      </c>
      <c r="N8" s="20" t="n">
        <f aca="false">IF(A8="",0,C8*IFERROR(INDEX('Matérias-Primas'!$O$5:$O$45,MATCH(A8,'Matérias-Primas'!$A$5:$A$45,0)),0))</f>
        <v>0</v>
      </c>
      <c r="O8" s="20" t="n">
        <f aca="false">IF(A8="",0,C8*IFERROR(INDEX('Matérias-Primas'!$P$5:$P$45,MATCH(A8,'Matérias-Primas'!$A$5:$A$45,0)),0))</f>
        <v>0</v>
      </c>
      <c r="P8" s="20" t="n">
        <f aca="false">IF(A8="",0,C8*IFERROR(INDEX('Matérias-Primas'!$Q$5:$Q$45,MATCH(A8,'Matérias-Primas'!$A$5:$A$45,0)),0))</f>
        <v>0</v>
      </c>
      <c r="Q8" s="20" t="n">
        <f aca="false">IF(A8="",0,C8*IFERROR(INDEX('Matérias-Primas'!$R$5:$R$45,MATCH(A8,'Matérias-Primas'!$A$5:$A$45,0)),0))</f>
        <v>0</v>
      </c>
    </row>
    <row r="9" customFormat="false" ht="15" hidden="false" customHeight="false" outlineLevel="0" collapsed="false">
      <c r="A9" s="13" t="s">
        <v>62</v>
      </c>
      <c r="B9" s="15" t="n">
        <v>15</v>
      </c>
      <c r="C9" s="18" t="n">
        <f aca="false">IF(B9="","",B9/SUM($B$5:$B$14))</f>
        <v>0.15</v>
      </c>
      <c r="D9" s="19" t="n">
        <f aca="false">IF(A9="","",IFERROR(INDEX('Matérias-Primas'!$D$5:$D$45,MATCH(A9,'Matérias-Primas'!$A$5:$A$45,0)),0))</f>
        <v>2.5</v>
      </c>
      <c r="E9" s="20" t="n">
        <f aca="false">IF(A9="",0,C9*IFERROR(INDEX('Matérias-Primas'!$F$5:$F$45,MATCH(A9,'Matérias-Primas'!$A$5:$A$45,0)),0))</f>
        <v>6.975</v>
      </c>
      <c r="F9" s="20" t="n">
        <f aca="false">IF(A9="",0,C9*IFERROR(INDEX('Matérias-Primas'!$G$5:$G$45,MATCH(A9,'Matérias-Primas'!$A$5:$A$45,0)),0))</f>
        <v>5.925</v>
      </c>
      <c r="G9" s="20" t="n">
        <f aca="false">IF(A9="",0,C9*IFERROR(INDEX('Matérias-Primas'!$H$5:$H$45,MATCH(A9,'Matérias-Primas'!$A$5:$A$45,0)),0))</f>
        <v>0</v>
      </c>
      <c r="H9" s="20" t="n">
        <f aca="false">IF(A9="",0,C9*IFERROR(INDEX('Matérias-Primas'!$I$5:$I$45,MATCH(A9,'Matérias-Primas'!$A$5:$A$45,0)),0))</f>
        <v>0</v>
      </c>
      <c r="I9" s="20" t="n">
        <f aca="false">IF(A9="",0,C9*IFERROR(INDEX('Matérias-Primas'!$J$5:$J$45,MATCH(A9,'Matérias-Primas'!$A$5:$A$45,0)),0))</f>
        <v>0</v>
      </c>
      <c r="J9" s="20" t="n">
        <f aca="false">IF(A9="",0,C9*IFERROR(INDEX('Matérias-Primas'!$K$5:$K$45,MATCH(A9,'Matérias-Primas'!$A$5:$A$45,0)),0))</f>
        <v>0</v>
      </c>
      <c r="K9" s="20" t="n">
        <f aca="false">IF(A9="",0,C9*IFERROR(INDEX('Matérias-Primas'!$L$5:$L$45,MATCH(A9,'Matérias-Primas'!$A$5:$A$45,0)),0))</f>
        <v>0</v>
      </c>
      <c r="L9" s="20" t="n">
        <f aca="false">IF(A9="",0,C9*IFERROR(INDEX('Matérias-Primas'!$M$5:$M$45,MATCH(A9,'Matérias-Primas'!$A$5:$A$45,0)),0))</f>
        <v>0</v>
      </c>
      <c r="M9" s="20" t="n">
        <f aca="false">IF(A9="",0,C9*IFERROR(INDEX('Matérias-Primas'!$N$5:$N$45,MATCH(A9,'Matérias-Primas'!$A$5:$A$45,0)),0))</f>
        <v>0</v>
      </c>
      <c r="N9" s="20" t="n">
        <f aca="false">IF(A9="",0,C9*IFERROR(INDEX('Matérias-Primas'!$O$5:$O$45,MATCH(A9,'Matérias-Primas'!$A$5:$A$45,0)),0))</f>
        <v>0</v>
      </c>
      <c r="O9" s="20" t="n">
        <f aca="false">IF(A9="",0,C9*IFERROR(INDEX('Matérias-Primas'!$P$5:$P$45,MATCH(A9,'Matérias-Primas'!$A$5:$A$45,0)),0))</f>
        <v>0</v>
      </c>
      <c r="P9" s="20" t="n">
        <f aca="false">IF(A9="",0,C9*IFERROR(INDEX('Matérias-Primas'!$Q$5:$Q$45,MATCH(A9,'Matérias-Primas'!$A$5:$A$45,0)),0))</f>
        <v>0.015</v>
      </c>
      <c r="Q9" s="20" t="n">
        <f aca="false">IF(A9="",0,C9*IFERROR(INDEX('Matérias-Primas'!$R$5:$R$45,MATCH(A9,'Matérias-Primas'!$A$5:$A$45,0)),0))</f>
        <v>0</v>
      </c>
    </row>
    <row r="10" customFormat="false" ht="15" hidden="false" customHeight="false" outlineLevel="0" collapsed="false">
      <c r="A10" s="13" t="s">
        <v>64</v>
      </c>
      <c r="B10" s="15" t="n">
        <v>20</v>
      </c>
      <c r="C10" s="18" t="n">
        <f aca="false">IF(B10="","",B10/SUM($B$5:$B$14))</f>
        <v>0.2</v>
      </c>
      <c r="D10" s="19" t="n">
        <f aca="false">IF(A10="","",IFERROR(INDEX('Matérias-Primas'!$D$5:$D$45,MATCH(A10,'Matérias-Primas'!$A$5:$A$45,0)),0))</f>
        <v>2</v>
      </c>
      <c r="E10" s="20" t="n">
        <f aca="false">IF(A10="",0,C10*IFERROR(INDEX('Matérias-Primas'!$F$5:$F$45,MATCH(A10,'Matérias-Primas'!$A$5:$A$45,0)),0))</f>
        <v>20</v>
      </c>
      <c r="F10" s="20" t="n">
        <f aca="false">IF(A10="",0,C10*IFERROR(INDEX('Matérias-Primas'!$G$5:$G$45,MATCH(A10,'Matérias-Primas'!$A$5:$A$45,0)),0))</f>
        <v>0</v>
      </c>
      <c r="G10" s="20" t="n">
        <f aca="false">IF(A10="",0,C10*IFERROR(INDEX('Matérias-Primas'!$H$5:$H$45,MATCH(A10,'Matérias-Primas'!$A$5:$A$45,0)),0))</f>
        <v>0</v>
      </c>
      <c r="H10" s="20" t="n">
        <f aca="false">IF(A10="",0,C10*IFERROR(INDEX('Matérias-Primas'!$I$5:$I$45,MATCH(A10,'Matérias-Primas'!$A$5:$A$45,0)),0))</f>
        <v>0</v>
      </c>
      <c r="I10" s="20" t="n">
        <f aca="false">IF(A10="",0,C10*IFERROR(INDEX('Matérias-Primas'!$J$5:$J$45,MATCH(A10,'Matérias-Primas'!$A$5:$A$45,0)),0))</f>
        <v>0</v>
      </c>
      <c r="J10" s="20" t="n">
        <f aca="false">IF(A10="",0,C10*IFERROR(INDEX('Matérias-Primas'!$K$5:$K$45,MATCH(A10,'Matérias-Primas'!$A$5:$A$45,0)),0))</f>
        <v>0</v>
      </c>
      <c r="K10" s="20" t="n">
        <f aca="false">IF(A10="",0,C10*IFERROR(INDEX('Matérias-Primas'!$L$5:$L$45,MATCH(A10,'Matérias-Primas'!$A$5:$A$45,0)),0))</f>
        <v>0</v>
      </c>
      <c r="L10" s="20" t="n">
        <f aca="false">IF(A10="",0,C10*IFERROR(INDEX('Matérias-Primas'!$M$5:$M$45,MATCH(A10,'Matérias-Primas'!$A$5:$A$45,0)),0))</f>
        <v>0</v>
      </c>
      <c r="M10" s="20" t="n">
        <f aca="false">IF(A10="",0,C10*IFERROR(INDEX('Matérias-Primas'!$N$5:$N$45,MATCH(A10,'Matérias-Primas'!$A$5:$A$45,0)),0))</f>
        <v>0</v>
      </c>
      <c r="N10" s="20" t="n">
        <f aca="false">IF(A10="",0,C10*IFERROR(INDEX('Matérias-Primas'!$O$5:$O$45,MATCH(A10,'Matérias-Primas'!$A$5:$A$45,0)),0))</f>
        <v>0</v>
      </c>
      <c r="O10" s="20" t="n">
        <f aca="false">IF(A10="",0,C10*IFERROR(INDEX('Matérias-Primas'!$P$5:$P$45,MATCH(A10,'Matérias-Primas'!$A$5:$A$45,0)),0))</f>
        <v>0</v>
      </c>
      <c r="P10" s="20" t="n">
        <f aca="false">IF(A10="",0,C10*IFERROR(INDEX('Matérias-Primas'!$Q$5:$Q$45,MATCH(A10,'Matérias-Primas'!$A$5:$A$45,0)),0))</f>
        <v>0</v>
      </c>
      <c r="Q10" s="20" t="n">
        <f aca="false">IF(A10="",0,C10*IFERROR(INDEX('Matérias-Primas'!$R$5:$R$45,MATCH(A10,'Matérias-Primas'!$A$5:$A$45,0)),0))</f>
        <v>0</v>
      </c>
    </row>
    <row r="11" customFormat="false" ht="15" hidden="false" customHeight="false" outlineLevel="0" collapsed="false">
      <c r="A11" s="13"/>
      <c r="B11" s="15"/>
      <c r="C11" s="18" t="str">
        <f aca="false">IF(B11="","",B11/SUM($B$5:$B$14))</f>
        <v/>
      </c>
      <c r="D11" s="19" t="str">
        <f aca="false">IF(A11="","",IFERROR(INDEX('Matérias-Primas'!$D$5:$D$45,MATCH(A11,'Matérias-Primas'!$A$5:$A$45,0)),0))</f>
        <v/>
      </c>
      <c r="E11" s="20" t="n">
        <f aca="false">IF(A11="",0,C11*IFERROR(INDEX('Matérias-Primas'!$F$5:$F$45,MATCH(A11,'Matérias-Primas'!$A$5:$A$45,0)),0))</f>
        <v>0</v>
      </c>
      <c r="F11" s="20" t="n">
        <f aca="false">IF(A11="",0,C11*IFERROR(INDEX('Matérias-Primas'!$G$5:$G$45,MATCH(A11,'Matérias-Primas'!$A$5:$A$45,0)),0))</f>
        <v>0</v>
      </c>
      <c r="G11" s="20" t="n">
        <f aca="false">IF(A11="",0,C11*IFERROR(INDEX('Matérias-Primas'!$H$5:$H$45,MATCH(A11,'Matérias-Primas'!$A$5:$A$45,0)),0))</f>
        <v>0</v>
      </c>
      <c r="H11" s="20" t="n">
        <f aca="false">IF(A11="",0,C11*IFERROR(INDEX('Matérias-Primas'!$I$5:$I$45,MATCH(A11,'Matérias-Primas'!$A$5:$A$45,0)),0))</f>
        <v>0</v>
      </c>
      <c r="I11" s="20" t="n">
        <f aca="false">IF(A11="",0,C11*IFERROR(INDEX('Matérias-Primas'!$J$5:$J$45,MATCH(A11,'Matérias-Primas'!$A$5:$A$45,0)),0))</f>
        <v>0</v>
      </c>
      <c r="J11" s="20" t="n">
        <f aca="false">IF(A11="",0,C11*IFERROR(INDEX('Matérias-Primas'!$K$5:$K$45,MATCH(A11,'Matérias-Primas'!$A$5:$A$45,0)),0))</f>
        <v>0</v>
      </c>
      <c r="K11" s="20" t="n">
        <f aca="false">IF(A11="",0,C11*IFERROR(INDEX('Matérias-Primas'!$L$5:$L$45,MATCH(A11,'Matérias-Primas'!$A$5:$A$45,0)),0))</f>
        <v>0</v>
      </c>
      <c r="L11" s="20" t="n">
        <f aca="false">IF(A11="",0,C11*IFERROR(INDEX('Matérias-Primas'!$M$5:$M$45,MATCH(A11,'Matérias-Primas'!$A$5:$A$45,0)),0))</f>
        <v>0</v>
      </c>
      <c r="M11" s="20" t="n">
        <f aca="false">IF(A11="",0,C11*IFERROR(INDEX('Matérias-Primas'!$N$5:$N$45,MATCH(A11,'Matérias-Primas'!$A$5:$A$45,0)),0))</f>
        <v>0</v>
      </c>
      <c r="N11" s="20" t="n">
        <f aca="false">IF(A11="",0,C11*IFERROR(INDEX('Matérias-Primas'!$O$5:$O$45,MATCH(A11,'Matérias-Primas'!$A$5:$A$45,0)),0))</f>
        <v>0</v>
      </c>
      <c r="O11" s="20" t="n">
        <f aca="false">IF(A11="",0,C11*IFERROR(INDEX('Matérias-Primas'!$P$5:$P$45,MATCH(A11,'Matérias-Primas'!$A$5:$A$45,0)),0))</f>
        <v>0</v>
      </c>
      <c r="P11" s="20" t="n">
        <f aca="false">IF(A11="",0,C11*IFERROR(INDEX('Matérias-Primas'!$Q$5:$Q$45,MATCH(A11,'Matérias-Primas'!$A$5:$A$45,0)),0))</f>
        <v>0</v>
      </c>
      <c r="Q11" s="20" t="n">
        <f aca="false">IF(A11="",0,C11*IFERROR(INDEX('Matérias-Primas'!$R$5:$R$45,MATCH(A11,'Matérias-Primas'!$A$5:$A$45,0)),0))</f>
        <v>0</v>
      </c>
    </row>
    <row r="12" customFormat="false" ht="15" hidden="false" customHeight="false" outlineLevel="0" collapsed="false">
      <c r="A12" s="13"/>
      <c r="B12" s="15"/>
      <c r="C12" s="18" t="str">
        <f aca="false">IF(B12="","",B12/SUM($B$5:$B$14))</f>
        <v/>
      </c>
      <c r="D12" s="19" t="str">
        <f aca="false">IF(A12="","",IFERROR(INDEX('Matérias-Primas'!$D$5:$D$45,MATCH(A12,'Matérias-Primas'!$A$5:$A$45,0)),0))</f>
        <v/>
      </c>
      <c r="E12" s="20" t="n">
        <f aca="false">IF(A12="",0,C12*IFERROR(INDEX('Matérias-Primas'!$F$5:$F$45,MATCH(A12,'Matérias-Primas'!$A$5:$A$45,0)),0))</f>
        <v>0</v>
      </c>
      <c r="F12" s="20" t="n">
        <f aca="false">IF(A12="",0,C12*IFERROR(INDEX('Matérias-Primas'!$G$5:$G$45,MATCH(A12,'Matérias-Primas'!$A$5:$A$45,0)),0))</f>
        <v>0</v>
      </c>
      <c r="G12" s="20" t="n">
        <f aca="false">IF(A12="",0,C12*IFERROR(INDEX('Matérias-Primas'!$H$5:$H$45,MATCH(A12,'Matérias-Primas'!$A$5:$A$45,0)),0))</f>
        <v>0</v>
      </c>
      <c r="H12" s="20" t="n">
        <f aca="false">IF(A12="",0,C12*IFERROR(INDEX('Matérias-Primas'!$I$5:$I$45,MATCH(A12,'Matérias-Primas'!$A$5:$A$45,0)),0))</f>
        <v>0</v>
      </c>
      <c r="I12" s="20" t="n">
        <f aca="false">IF(A12="",0,C12*IFERROR(INDEX('Matérias-Primas'!$J$5:$J$45,MATCH(A12,'Matérias-Primas'!$A$5:$A$45,0)),0))</f>
        <v>0</v>
      </c>
      <c r="J12" s="20" t="n">
        <f aca="false">IF(A12="",0,C12*IFERROR(INDEX('Matérias-Primas'!$K$5:$K$45,MATCH(A12,'Matérias-Primas'!$A$5:$A$45,0)),0))</f>
        <v>0</v>
      </c>
      <c r="K12" s="20" t="n">
        <f aca="false">IF(A12="",0,C12*IFERROR(INDEX('Matérias-Primas'!$L$5:$L$45,MATCH(A12,'Matérias-Primas'!$A$5:$A$45,0)),0))</f>
        <v>0</v>
      </c>
      <c r="L12" s="20" t="n">
        <f aca="false">IF(A12="",0,C12*IFERROR(INDEX('Matérias-Primas'!$M$5:$M$45,MATCH(A12,'Matérias-Primas'!$A$5:$A$45,0)),0))</f>
        <v>0</v>
      </c>
      <c r="M12" s="20" t="n">
        <f aca="false">IF(A12="",0,C12*IFERROR(INDEX('Matérias-Primas'!$N$5:$N$45,MATCH(A12,'Matérias-Primas'!$A$5:$A$45,0)),0))</f>
        <v>0</v>
      </c>
      <c r="N12" s="20" t="n">
        <f aca="false">IF(A12="",0,C12*IFERROR(INDEX('Matérias-Primas'!$O$5:$O$45,MATCH(A12,'Matérias-Primas'!$A$5:$A$45,0)),0))</f>
        <v>0</v>
      </c>
      <c r="O12" s="20" t="n">
        <f aca="false">IF(A12="",0,C12*IFERROR(INDEX('Matérias-Primas'!$P$5:$P$45,MATCH(A12,'Matérias-Primas'!$A$5:$A$45,0)),0))</f>
        <v>0</v>
      </c>
      <c r="P12" s="20" t="n">
        <f aca="false">IF(A12="",0,C12*IFERROR(INDEX('Matérias-Primas'!$Q$5:$Q$45,MATCH(A12,'Matérias-Primas'!$A$5:$A$45,0)),0))</f>
        <v>0</v>
      </c>
      <c r="Q12" s="20" t="n">
        <f aca="false">IF(A12="",0,C12*IFERROR(INDEX('Matérias-Primas'!$R$5:$R$45,MATCH(A12,'Matérias-Primas'!$A$5:$A$45,0)),0))</f>
        <v>0</v>
      </c>
    </row>
    <row r="13" customFormat="false" ht="15" hidden="false" customHeight="false" outlineLevel="0" collapsed="false">
      <c r="A13" s="13"/>
      <c r="B13" s="15"/>
      <c r="C13" s="18" t="str">
        <f aca="false">IF(B13="","",B13/SUM($B$5:$B$14))</f>
        <v/>
      </c>
      <c r="D13" s="19" t="str">
        <f aca="false">IF(A13="","",IFERROR(INDEX('Matérias-Primas'!$D$5:$D$45,MATCH(A13,'Matérias-Primas'!$A$5:$A$45,0)),0))</f>
        <v/>
      </c>
      <c r="E13" s="20" t="n">
        <f aca="false">IF(A13="",0,C13*IFERROR(INDEX('Matérias-Primas'!$F$5:$F$45,MATCH(A13,'Matérias-Primas'!$A$5:$A$45,0)),0))</f>
        <v>0</v>
      </c>
      <c r="F13" s="20" t="n">
        <f aca="false">IF(A13="",0,C13*IFERROR(INDEX('Matérias-Primas'!$G$5:$G$45,MATCH(A13,'Matérias-Primas'!$A$5:$A$45,0)),0))</f>
        <v>0</v>
      </c>
      <c r="G13" s="20" t="n">
        <f aca="false">IF(A13="",0,C13*IFERROR(INDEX('Matérias-Primas'!$H$5:$H$45,MATCH(A13,'Matérias-Primas'!$A$5:$A$45,0)),0))</f>
        <v>0</v>
      </c>
      <c r="H13" s="20" t="n">
        <f aca="false">IF(A13="",0,C13*IFERROR(INDEX('Matérias-Primas'!$I$5:$I$45,MATCH(A13,'Matérias-Primas'!$A$5:$A$45,0)),0))</f>
        <v>0</v>
      </c>
      <c r="I13" s="20" t="n">
        <f aca="false">IF(A13="",0,C13*IFERROR(INDEX('Matérias-Primas'!$J$5:$J$45,MATCH(A13,'Matérias-Primas'!$A$5:$A$45,0)),0))</f>
        <v>0</v>
      </c>
      <c r="J13" s="20" t="n">
        <f aca="false">IF(A13="",0,C13*IFERROR(INDEX('Matérias-Primas'!$K$5:$K$45,MATCH(A13,'Matérias-Primas'!$A$5:$A$45,0)),0))</f>
        <v>0</v>
      </c>
      <c r="K13" s="20" t="n">
        <f aca="false">IF(A13="",0,C13*IFERROR(INDEX('Matérias-Primas'!$L$5:$L$45,MATCH(A13,'Matérias-Primas'!$A$5:$A$45,0)),0))</f>
        <v>0</v>
      </c>
      <c r="L13" s="20" t="n">
        <f aca="false">IF(A13="",0,C13*IFERROR(INDEX('Matérias-Primas'!$M$5:$M$45,MATCH(A13,'Matérias-Primas'!$A$5:$A$45,0)),0))</f>
        <v>0</v>
      </c>
      <c r="M13" s="20" t="n">
        <f aca="false">IF(A13="",0,C13*IFERROR(INDEX('Matérias-Primas'!$N$5:$N$45,MATCH(A13,'Matérias-Primas'!$A$5:$A$45,0)),0))</f>
        <v>0</v>
      </c>
      <c r="N13" s="20" t="n">
        <f aca="false">IF(A13="",0,C13*IFERROR(INDEX('Matérias-Primas'!$O$5:$O$45,MATCH(A13,'Matérias-Primas'!$A$5:$A$45,0)),0))</f>
        <v>0</v>
      </c>
      <c r="O13" s="20" t="n">
        <f aca="false">IF(A13="",0,C13*IFERROR(INDEX('Matérias-Primas'!$P$5:$P$45,MATCH(A13,'Matérias-Primas'!$A$5:$A$45,0)),0))</f>
        <v>0</v>
      </c>
      <c r="P13" s="20" t="n">
        <f aca="false">IF(A13="",0,C13*IFERROR(INDEX('Matérias-Primas'!$Q$5:$Q$45,MATCH(A13,'Matérias-Primas'!$A$5:$A$45,0)),0))</f>
        <v>0</v>
      </c>
      <c r="Q13" s="20" t="n">
        <f aca="false">IF(A13="",0,C13*IFERROR(INDEX('Matérias-Primas'!$R$5:$R$45,MATCH(A13,'Matérias-Primas'!$A$5:$A$45,0)),0))</f>
        <v>0</v>
      </c>
    </row>
    <row r="14" customFormat="false" ht="15" hidden="false" customHeight="false" outlineLevel="0" collapsed="false">
      <c r="A14" s="13"/>
      <c r="B14" s="15"/>
      <c r="C14" s="18" t="str">
        <f aca="false">IF(B14="","",B14/SUM($B$5:$B$14))</f>
        <v/>
      </c>
      <c r="D14" s="19" t="str">
        <f aca="false">IF(A14="","",IFERROR(INDEX('Matérias-Primas'!$D$5:$D$45,MATCH(A14,'Matérias-Primas'!$A$5:$A$45,0)),0))</f>
        <v/>
      </c>
      <c r="E14" s="20" t="n">
        <f aca="false">IF(A14="",0,C14*IFERROR(INDEX('Matérias-Primas'!$F$5:$F$45,MATCH(A14,'Matérias-Primas'!$A$5:$A$45,0)),0))</f>
        <v>0</v>
      </c>
      <c r="F14" s="20" t="n">
        <f aca="false">IF(A14="",0,C14*IFERROR(INDEX('Matérias-Primas'!$G$5:$G$45,MATCH(A14,'Matérias-Primas'!$A$5:$A$45,0)),0))</f>
        <v>0</v>
      </c>
      <c r="G14" s="20" t="n">
        <f aca="false">IF(A14="",0,C14*IFERROR(INDEX('Matérias-Primas'!$H$5:$H$45,MATCH(A14,'Matérias-Primas'!$A$5:$A$45,0)),0))</f>
        <v>0</v>
      </c>
      <c r="H14" s="20" t="n">
        <f aca="false">IF(A14="",0,C14*IFERROR(INDEX('Matérias-Primas'!$I$5:$I$45,MATCH(A14,'Matérias-Primas'!$A$5:$A$45,0)),0))</f>
        <v>0</v>
      </c>
      <c r="I14" s="20" t="n">
        <f aca="false">IF(A14="",0,C14*IFERROR(INDEX('Matérias-Primas'!$J$5:$J$45,MATCH(A14,'Matérias-Primas'!$A$5:$A$45,0)),0))</f>
        <v>0</v>
      </c>
      <c r="J14" s="20" t="n">
        <f aca="false">IF(A14="",0,C14*IFERROR(INDEX('Matérias-Primas'!$K$5:$K$45,MATCH(A14,'Matérias-Primas'!$A$5:$A$45,0)),0))</f>
        <v>0</v>
      </c>
      <c r="K14" s="20" t="n">
        <f aca="false">IF(A14="",0,C14*IFERROR(INDEX('Matérias-Primas'!$L$5:$L$45,MATCH(A14,'Matérias-Primas'!$A$5:$A$45,0)),0))</f>
        <v>0</v>
      </c>
      <c r="L14" s="20" t="n">
        <f aca="false">IF(A14="",0,C14*IFERROR(INDEX('Matérias-Primas'!$M$5:$M$45,MATCH(A14,'Matérias-Primas'!$A$5:$A$45,0)),0))</f>
        <v>0</v>
      </c>
      <c r="M14" s="20" t="n">
        <f aca="false">IF(A14="",0,C14*IFERROR(INDEX('Matérias-Primas'!$N$5:$N$45,MATCH(A14,'Matérias-Primas'!$A$5:$A$45,0)),0))</f>
        <v>0</v>
      </c>
      <c r="N14" s="20" t="n">
        <f aca="false">IF(A14="",0,C14*IFERROR(INDEX('Matérias-Primas'!$O$5:$O$45,MATCH(A14,'Matérias-Primas'!$A$5:$A$45,0)),0))</f>
        <v>0</v>
      </c>
      <c r="O14" s="20" t="n">
        <f aca="false">IF(A14="",0,C14*IFERROR(INDEX('Matérias-Primas'!$P$5:$P$45,MATCH(A14,'Matérias-Primas'!$A$5:$A$45,0)),0))</f>
        <v>0</v>
      </c>
      <c r="P14" s="20" t="n">
        <f aca="false">IF(A14="",0,C14*IFERROR(INDEX('Matérias-Primas'!$Q$5:$Q$45,MATCH(A14,'Matérias-Primas'!$A$5:$A$45,0)),0))</f>
        <v>0</v>
      </c>
      <c r="Q14" s="20" t="n">
        <f aca="false">IF(A14="",0,C14*IFERROR(INDEX('Matérias-Primas'!$R$5:$R$45,MATCH(A14,'Matérias-Primas'!$A$5:$A$45,0)),0))</f>
        <v>0</v>
      </c>
    </row>
    <row r="15" customFormat="false" ht="15" hidden="false" customHeight="false" outlineLevel="0" collapsed="false">
      <c r="A15" s="5" t="s">
        <v>123</v>
      </c>
      <c r="B15" s="21" t="n">
        <f aca="false">SUM(B5:B14)</f>
        <v>100</v>
      </c>
      <c r="C15" s="22" t="n">
        <f aca="false">SUM(C5:C14)</f>
        <v>1</v>
      </c>
      <c r="D15" s="2"/>
      <c r="E15" s="23" t="n">
        <f aca="false">SUM(E5:E14)</f>
        <v>57.944</v>
      </c>
      <c r="F15" s="23" t="n">
        <f aca="false">SUM(F5:F14)</f>
        <v>9.625</v>
      </c>
      <c r="G15" s="23" t="n">
        <f aca="false">SUM(G5:G14)</f>
        <v>6.93</v>
      </c>
      <c r="H15" s="23" t="n">
        <f aca="false">SUM(H5:H14)</f>
        <v>3.69</v>
      </c>
      <c r="I15" s="23" t="n">
        <f aca="false">SUM(I5:I14)</f>
        <v>2.2</v>
      </c>
      <c r="J15" s="23" t="n">
        <f aca="false">SUM(J5:J14)</f>
        <v>0</v>
      </c>
      <c r="K15" s="23" t="n">
        <f aca="false">SUM(K5:K14)</f>
        <v>9.451</v>
      </c>
      <c r="L15" s="23" t="n">
        <f aca="false">SUM(L5:L14)</f>
        <v>0</v>
      </c>
      <c r="M15" s="23" t="n">
        <f aca="false">SUM(M5:M14)</f>
        <v>5.616</v>
      </c>
      <c r="N15" s="23" t="n">
        <f aca="false">SUM(N5:N14)</f>
        <v>0</v>
      </c>
      <c r="O15" s="23" t="n">
        <f aca="false">SUM(O5:O14)</f>
        <v>0</v>
      </c>
      <c r="P15" s="23" t="n">
        <f aca="false">SUM(P5:P14)</f>
        <v>0.035</v>
      </c>
      <c r="Q15" s="23" t="n">
        <f aca="false">SUM(Q5:Q14)</f>
        <v>0</v>
      </c>
    </row>
    <row r="16" customFormat="false" ht="15" hidden="false" customHeight="false" outlineLevel="0" collapsed="false">
      <c r="A16" s="5" t="s">
        <v>124</v>
      </c>
      <c r="B16" s="2"/>
      <c r="C16" s="2"/>
      <c r="D16" s="2"/>
      <c r="E16" s="24" t="n">
        <f aca="false">'Matérias-Primas'!F3</f>
        <v>60.08</v>
      </c>
      <c r="F16" s="24" t="n">
        <f aca="false">'Matérias-Primas'!G3</f>
        <v>101.96</v>
      </c>
      <c r="G16" s="24" t="n">
        <f aca="false">'Matérias-Primas'!H3</f>
        <v>69.62</v>
      </c>
      <c r="H16" s="24" t="n">
        <f aca="false">'Matérias-Primas'!I3</f>
        <v>61.98</v>
      </c>
      <c r="I16" s="24" t="n">
        <f aca="false">'Matérias-Primas'!J3</f>
        <v>94.2</v>
      </c>
      <c r="J16" s="24" t="n">
        <f aca="false">'Matérias-Primas'!K3</f>
        <v>29.88</v>
      </c>
      <c r="K16" s="24" t="n">
        <f aca="false">'Matérias-Primas'!L3</f>
        <v>56.08</v>
      </c>
      <c r="L16" s="24" t="n">
        <f aca="false">'Matérias-Primas'!M3</f>
        <v>40.3</v>
      </c>
      <c r="M16" s="24" t="n">
        <f aca="false">'Matérias-Primas'!N3</f>
        <v>103.62</v>
      </c>
      <c r="N16" s="24" t="n">
        <f aca="false">'Matérias-Primas'!O3</f>
        <v>81.38</v>
      </c>
      <c r="O16" s="24" t="n">
        <f aca="false">'Matérias-Primas'!P3</f>
        <v>123.22</v>
      </c>
      <c r="P16" s="24" t="n">
        <f aca="false">'Matérias-Primas'!Q3</f>
        <v>159.69</v>
      </c>
      <c r="Q16" s="24" t="n">
        <f aca="false">'Matérias-Primas'!R3</f>
        <v>79.87</v>
      </c>
    </row>
    <row r="17" customFormat="false" ht="15" hidden="false" customHeight="false" outlineLevel="0" collapsed="false">
      <c r="A17" s="5" t="s">
        <v>125</v>
      </c>
      <c r="B17" s="2"/>
      <c r="C17" s="3" t="s">
        <v>126</v>
      </c>
      <c r="D17" s="25" t="n">
        <f aca="false">H17+I17+J17+K17+L17+M17+N17</f>
        <v>0.305615034139584</v>
      </c>
      <c r="E17" s="25" t="n">
        <f aca="false">E15/E16</f>
        <v>0.964447403462051</v>
      </c>
      <c r="F17" s="25" t="n">
        <f aca="false">F15/F16</f>
        <v>0.094399764613574</v>
      </c>
      <c r="G17" s="25" t="n">
        <f aca="false">G15/G16</f>
        <v>0.0995403619649526</v>
      </c>
      <c r="H17" s="25" t="n">
        <f aca="false">H15/H16</f>
        <v>0.0595353339787028</v>
      </c>
      <c r="I17" s="25" t="n">
        <f aca="false">I15/I16</f>
        <v>0.0233545647558386</v>
      </c>
      <c r="J17" s="25" t="n">
        <f aca="false">J15/J16</f>
        <v>0</v>
      </c>
      <c r="K17" s="25" t="n">
        <f aca="false">K15/K16</f>
        <v>0.168527104136947</v>
      </c>
      <c r="L17" s="25" t="n">
        <f aca="false">L15/L16</f>
        <v>0</v>
      </c>
      <c r="M17" s="25" t="n">
        <f aca="false">M15/M16</f>
        <v>0.054198031268095</v>
      </c>
      <c r="N17" s="25" t="n">
        <f aca="false">N15/N16</f>
        <v>0</v>
      </c>
      <c r="O17" s="25" t="n">
        <f aca="false">O15/O16</f>
        <v>0</v>
      </c>
      <c r="P17" s="25" t="n">
        <f aca="false">P15/P16</f>
        <v>0.000219174650886092</v>
      </c>
      <c r="Q17" s="25" t="n">
        <f aca="false">Q15/Q16</f>
        <v>0</v>
      </c>
    </row>
    <row r="18" customFormat="false" ht="15" hidden="false" customHeight="false" outlineLevel="0" collapsed="false">
      <c r="A18" s="5" t="s">
        <v>127</v>
      </c>
      <c r="B18" s="2"/>
      <c r="C18" s="2"/>
      <c r="D18" s="2"/>
      <c r="E18" s="26" t="n">
        <f aca="false">IF($D$17=0,0,E17/$D$17)</f>
        <v>3.15575902925495</v>
      </c>
      <c r="F18" s="26" t="n">
        <f aca="false">IF($D$17=0,0,F17/$D$17)</f>
        <v>0.308884557591688</v>
      </c>
      <c r="G18" s="26" t="n">
        <f aca="false">IF($D$17=0,0,G17/$D$17)</f>
        <v>0.3257050565107</v>
      </c>
      <c r="H18" s="26" t="n">
        <f aca="false">IF($D$17=0,0,H17/$D$17)</f>
        <v>0.19480499101203</v>
      </c>
      <c r="I18" s="26" t="n">
        <f aca="false">IF($D$17=0,0,I17/$D$17)</f>
        <v>0.0764182456585951</v>
      </c>
      <c r="J18" s="26" t="n">
        <f aca="false">IF($D$17=0,0,J17/$D$17)</f>
        <v>0</v>
      </c>
      <c r="K18" s="26" t="n">
        <f aca="false">IF($D$17=0,0,K17/$D$17)</f>
        <v>0.551435908941495</v>
      </c>
      <c r="L18" s="26" t="n">
        <f aca="false">IF($D$17=0,0,L17/$D$17)</f>
        <v>0</v>
      </c>
      <c r="M18" s="26" t="n">
        <f aca="false">IF($D$17=0,0,M17/$D$17)</f>
        <v>0.17734085438788</v>
      </c>
      <c r="N18" s="26" t="n">
        <f aca="false">IF($D$17=0,0,N17/$D$17)</f>
        <v>0</v>
      </c>
      <c r="O18" s="26" t="n">
        <f aca="false">IF($D$17=0,0,O17/$D$17)</f>
        <v>0</v>
      </c>
      <c r="P18" s="26" t="n">
        <f aca="false">IF($D$17=0,0,P17/$D$17)</f>
        <v>0.000717159257243831</v>
      </c>
      <c r="Q18" s="26" t="n">
        <f aca="false">IF($D$17=0,0,Q17/$D$17)</f>
        <v>0</v>
      </c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customFormat="false" ht="15" hidden="false" customHeight="false" outlineLevel="0" collapsed="false">
      <c r="A20" s="4" t="s">
        <v>128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customFormat="false" ht="15" hidden="false" customHeight="false" outlineLevel="0" collapsed="false">
      <c r="A21" s="12" t="s">
        <v>129</v>
      </c>
      <c r="B21" s="12" t="s">
        <v>130</v>
      </c>
      <c r="C21" s="12" t="s">
        <v>131</v>
      </c>
      <c r="D21" s="12" t="s">
        <v>132</v>
      </c>
      <c r="E21" s="12" t="s">
        <v>133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customFormat="false" ht="15" hidden="false" customHeight="false" outlineLevel="0" collapsed="false">
      <c r="A22" s="27" t="s">
        <v>134</v>
      </c>
      <c r="B22" s="28" t="n">
        <f aca="false">E18</f>
        <v>3.15575902925495</v>
      </c>
      <c r="C22" s="29" t="n">
        <v>2.8</v>
      </c>
      <c r="D22" s="29" t="n">
        <v>3.6</v>
      </c>
      <c r="E22" s="30" t="str">
        <f aca="false">IF(AND(B22&gt;=C22,B22&lt;=D22),"OK","Ajustar")</f>
        <v>OK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customFormat="false" ht="15" hidden="false" customHeight="false" outlineLevel="0" collapsed="false">
      <c r="A23" s="27" t="s">
        <v>135</v>
      </c>
      <c r="B23" s="28" t="n">
        <f aca="false">F18</f>
        <v>0.308884557591688</v>
      </c>
      <c r="C23" s="29" t="n">
        <v>0.25</v>
      </c>
      <c r="D23" s="29" t="n">
        <v>0.35</v>
      </c>
      <c r="E23" s="30" t="str">
        <f aca="false">IF(AND(B23&gt;=C23,B23&lt;=D23),"OK","Ajustar")</f>
        <v>OK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customFormat="false" ht="15" hidden="false" customHeight="false" outlineLevel="0" collapsed="false">
      <c r="A24" s="27" t="s">
        <v>136</v>
      </c>
      <c r="B24" s="28" t="n">
        <f aca="false">G18</f>
        <v>0.3257050565107</v>
      </c>
      <c r="C24" s="29" t="n">
        <v>0.2</v>
      </c>
      <c r="D24" s="29" t="n">
        <v>0.4</v>
      </c>
      <c r="E24" s="30" t="str">
        <f aca="false">IF(AND(B24&gt;=C24,B24&lt;=D24),"OK","Ajustar")</f>
        <v>OK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customFormat="false" ht="15" hidden="false" customHeight="false" outlineLevel="0" collapsed="false">
      <c r="A25" s="27" t="s">
        <v>137</v>
      </c>
      <c r="B25" s="28" t="n">
        <f aca="false">IF(F18=0,0,E18/F18)</f>
        <v>10.2166293254016</v>
      </c>
      <c r="C25" s="29" t="n">
        <v>8</v>
      </c>
      <c r="D25" s="29" t="n">
        <v>11</v>
      </c>
      <c r="E25" s="30" t="str">
        <f aca="false">IF(AND(B25&gt;=C25,B25&lt;=D25),"OK","Ajustar")</f>
        <v>OK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customFormat="false" ht="15" hidden="false" customHeight="false" outlineLevel="0" collapsed="false">
      <c r="A27" s="5" t="s">
        <v>138</v>
      </c>
      <c r="B27" s="31" t="n">
        <f aca="false">SUMPRODUCT(C5:C14,D5:D14)</f>
        <v>9.335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customFormat="false" ht="15" hidden="false" customHeight="false" outlineLevel="0" collapsed="false">
      <c r="A28" s="3" t="s">
        <v>139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</sheetData>
  <conditionalFormatting sqref="E22:E25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"Ajustar"</formula>
    </cfRule>
  </conditionalFormatting>
  <dataValidations count="1">
    <dataValidation allowBlank="true" errorStyle="stop" operator="between" showDropDown="false" showErrorMessage="false" showInputMessage="false" sqref="A5:A14" type="list">
      <formula1>'Matérias-Primas'!$A$5:$A$45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7" min="2" style="0" width="11"/>
  </cols>
  <sheetData>
    <row r="1" customFormat="false" ht="17.35" hidden="false" customHeight="false" outlineLevel="0" collapsed="false">
      <c r="A1" s="1" t="s">
        <v>146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false" outlineLevel="0" collapsed="false">
      <c r="A2" s="3" t="s">
        <v>147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2"/>
      <c r="B3" s="2"/>
      <c r="C3" s="2"/>
      <c r="D3" s="2"/>
      <c r="E3" s="3" t="s">
        <v>107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35.05" hidden="false" customHeight="false" outlineLevel="0" collapsed="false">
      <c r="A4" s="12" t="s">
        <v>40</v>
      </c>
      <c r="B4" s="12" t="s">
        <v>108</v>
      </c>
      <c r="C4" s="12" t="s">
        <v>109</v>
      </c>
      <c r="D4" s="12" t="s">
        <v>43</v>
      </c>
      <c r="E4" s="12" t="s">
        <v>110</v>
      </c>
      <c r="F4" s="12" t="s">
        <v>111</v>
      </c>
      <c r="G4" s="12" t="s">
        <v>112</v>
      </c>
      <c r="H4" s="12" t="s">
        <v>113</v>
      </c>
      <c r="I4" s="12" t="s">
        <v>114</v>
      </c>
      <c r="J4" s="12" t="s">
        <v>115</v>
      </c>
      <c r="K4" s="12" t="s">
        <v>116</v>
      </c>
      <c r="L4" s="12" t="s">
        <v>117</v>
      </c>
      <c r="M4" s="12" t="s">
        <v>118</v>
      </c>
      <c r="N4" s="12" t="s">
        <v>119</v>
      </c>
      <c r="O4" s="12" t="s">
        <v>120</v>
      </c>
      <c r="P4" s="12" t="s">
        <v>121</v>
      </c>
      <c r="Q4" s="12" t="s">
        <v>122</v>
      </c>
    </row>
    <row r="5" customFormat="false" ht="15" hidden="false" customHeight="false" outlineLevel="0" collapsed="false">
      <c r="A5" s="13" t="s">
        <v>59</v>
      </c>
      <c r="B5" s="15" t="n">
        <v>35</v>
      </c>
      <c r="C5" s="18" t="n">
        <f aca="false">IF(B5="","",B5/SUM($B$5:$B$14))</f>
        <v>0.35</v>
      </c>
      <c r="D5" s="19" t="n">
        <f aca="false">IF(A5="","",IFERROR(INDEX('Matérias-Primas'!$D$5:$D$45,MATCH(A5,'Matérias-Primas'!$A$5:$A$45,0)),0))</f>
        <v>3.5</v>
      </c>
      <c r="E5" s="20" t="n">
        <f aca="false">IF(A5="",0,C5*IFERROR(INDEX('Matérias-Primas'!$F$5:$F$45,MATCH(A5,'Matérias-Primas'!$A$5:$A$45,0)),0))</f>
        <v>23.45</v>
      </c>
      <c r="F5" s="20" t="n">
        <f aca="false">IF(A5="",0,C5*IFERROR(INDEX('Matérias-Primas'!$G$5:$G$45,MATCH(A5,'Matérias-Primas'!$A$5:$A$45,0)),0))</f>
        <v>6.475</v>
      </c>
      <c r="G5" s="20" t="n">
        <f aca="false">IF(A5="",0,C5*IFERROR(INDEX('Matérias-Primas'!$H$5:$H$45,MATCH(A5,'Matérias-Primas'!$A$5:$A$45,0)),0))</f>
        <v>0</v>
      </c>
      <c r="H5" s="20" t="n">
        <f aca="false">IF(A5="",0,C5*IFERROR(INDEX('Matérias-Primas'!$I$5:$I$45,MATCH(A5,'Matérias-Primas'!$A$5:$A$45,0)),0))</f>
        <v>1.05</v>
      </c>
      <c r="I5" s="20" t="n">
        <f aca="false">IF(A5="",0,C5*IFERROR(INDEX('Matérias-Primas'!$J$5:$J$45,MATCH(A5,'Matérias-Primas'!$A$5:$A$45,0)),0))</f>
        <v>3.85</v>
      </c>
      <c r="J5" s="20" t="n">
        <f aca="false">IF(A5="",0,C5*IFERROR(INDEX('Matérias-Primas'!$K$5:$K$45,MATCH(A5,'Matérias-Primas'!$A$5:$A$45,0)),0))</f>
        <v>0</v>
      </c>
      <c r="K5" s="20" t="n">
        <f aca="false">IF(A5="",0,C5*IFERROR(INDEX('Matérias-Primas'!$L$5:$L$45,MATCH(A5,'Matérias-Primas'!$A$5:$A$45,0)),0))</f>
        <v>0.07</v>
      </c>
      <c r="L5" s="20" t="n">
        <f aca="false">IF(A5="",0,C5*IFERROR(INDEX('Matérias-Primas'!$M$5:$M$45,MATCH(A5,'Matérias-Primas'!$A$5:$A$45,0)),0))</f>
        <v>0</v>
      </c>
      <c r="M5" s="20" t="n">
        <f aca="false">IF(A5="",0,C5*IFERROR(INDEX('Matérias-Primas'!$N$5:$N$45,MATCH(A5,'Matérias-Primas'!$A$5:$A$45,0)),0))</f>
        <v>0</v>
      </c>
      <c r="N5" s="20" t="n">
        <f aca="false">IF(A5="",0,C5*IFERROR(INDEX('Matérias-Primas'!$O$5:$O$45,MATCH(A5,'Matérias-Primas'!$A$5:$A$45,0)),0))</f>
        <v>0</v>
      </c>
      <c r="O5" s="20" t="n">
        <f aca="false">IF(A5="",0,C5*IFERROR(INDEX('Matérias-Primas'!$P$5:$P$45,MATCH(A5,'Matérias-Primas'!$A$5:$A$45,0)),0))</f>
        <v>0</v>
      </c>
      <c r="P5" s="20" t="n">
        <f aca="false">IF(A5="",0,C5*IFERROR(INDEX('Matérias-Primas'!$Q$5:$Q$45,MATCH(A5,'Matérias-Primas'!$A$5:$A$45,0)),0))</f>
        <v>0.035</v>
      </c>
      <c r="Q5" s="20" t="n">
        <f aca="false">IF(A5="",0,C5*IFERROR(INDEX('Matérias-Primas'!$R$5:$R$45,MATCH(A5,'Matérias-Primas'!$A$5:$A$45,0)),0))</f>
        <v>0</v>
      </c>
    </row>
    <row r="6" customFormat="false" ht="15" hidden="false" customHeight="false" outlineLevel="0" collapsed="false">
      <c r="A6" s="13" t="s">
        <v>72</v>
      </c>
      <c r="B6" s="15" t="n">
        <v>12</v>
      </c>
      <c r="C6" s="18" t="n">
        <f aca="false">IF(B6="","",B6/SUM($B$5:$B$14))</f>
        <v>0.12</v>
      </c>
      <c r="D6" s="19" t="n">
        <f aca="false">IF(A6="","",IFERROR(INDEX('Matérias-Primas'!$D$5:$D$45,MATCH(A6,'Matérias-Primas'!$A$5:$A$45,0)),0))</f>
        <v>15</v>
      </c>
      <c r="E6" s="20" t="n">
        <f aca="false">IF(A6="",0,C6*IFERROR(INDEX('Matérias-Primas'!$F$5:$F$45,MATCH(A6,'Matérias-Primas'!$A$5:$A$45,0)),0))</f>
        <v>5.58</v>
      </c>
      <c r="F6" s="20" t="n">
        <f aca="false">IF(A6="",0,C6*IFERROR(INDEX('Matérias-Primas'!$G$5:$G$45,MATCH(A6,'Matérias-Primas'!$A$5:$A$45,0)),0))</f>
        <v>0</v>
      </c>
      <c r="G6" s="20" t="n">
        <f aca="false">IF(A6="",0,C6*IFERROR(INDEX('Matérias-Primas'!$H$5:$H$45,MATCH(A6,'Matérias-Primas'!$A$5:$A$45,0)),0))</f>
        <v>2.772</v>
      </c>
      <c r="H6" s="20" t="n">
        <f aca="false">IF(A6="",0,C6*IFERROR(INDEX('Matérias-Primas'!$I$5:$I$45,MATCH(A6,'Matérias-Primas'!$A$5:$A$45,0)),0))</f>
        <v>1.236</v>
      </c>
      <c r="I6" s="20" t="n">
        <f aca="false">IF(A6="",0,C6*IFERROR(INDEX('Matérias-Primas'!$J$5:$J$45,MATCH(A6,'Matérias-Primas'!$A$5:$A$45,0)),0))</f>
        <v>0</v>
      </c>
      <c r="J6" s="20" t="n">
        <f aca="false">IF(A6="",0,C6*IFERROR(INDEX('Matérias-Primas'!$K$5:$K$45,MATCH(A6,'Matérias-Primas'!$A$5:$A$45,0)),0))</f>
        <v>0</v>
      </c>
      <c r="K6" s="20" t="n">
        <f aca="false">IF(A6="",0,C6*IFERROR(INDEX('Matérias-Primas'!$L$5:$L$45,MATCH(A6,'Matérias-Primas'!$A$5:$A$45,0)),0))</f>
        <v>2.412</v>
      </c>
      <c r="L6" s="20" t="n">
        <f aca="false">IF(A6="",0,C6*IFERROR(INDEX('Matérias-Primas'!$M$5:$M$45,MATCH(A6,'Matérias-Primas'!$A$5:$A$45,0)),0))</f>
        <v>0</v>
      </c>
      <c r="M6" s="20" t="n">
        <f aca="false">IF(A6="",0,C6*IFERROR(INDEX('Matérias-Primas'!$N$5:$N$45,MATCH(A6,'Matérias-Primas'!$A$5:$A$45,0)),0))</f>
        <v>0</v>
      </c>
      <c r="N6" s="20" t="n">
        <f aca="false">IF(A6="",0,C6*IFERROR(INDEX('Matérias-Primas'!$O$5:$O$45,MATCH(A6,'Matérias-Primas'!$A$5:$A$45,0)),0))</f>
        <v>0</v>
      </c>
      <c r="O6" s="20" t="n">
        <f aca="false">IF(A6="",0,C6*IFERROR(INDEX('Matérias-Primas'!$P$5:$P$45,MATCH(A6,'Matérias-Primas'!$A$5:$A$45,0)),0))</f>
        <v>0</v>
      </c>
      <c r="P6" s="20" t="n">
        <f aca="false">IF(A6="",0,C6*IFERROR(INDEX('Matérias-Primas'!$Q$5:$Q$45,MATCH(A6,'Matérias-Primas'!$A$5:$A$45,0)),0))</f>
        <v>0</v>
      </c>
      <c r="Q6" s="20" t="n">
        <f aca="false">IF(A6="",0,C6*IFERROR(INDEX('Matérias-Primas'!$R$5:$R$45,MATCH(A6,'Matérias-Primas'!$A$5:$A$45,0)),0))</f>
        <v>0</v>
      </c>
    </row>
    <row r="7" customFormat="false" ht="15" hidden="false" customHeight="false" outlineLevel="0" collapsed="false">
      <c r="A7" s="13" t="s">
        <v>66</v>
      </c>
      <c r="B7" s="15" t="n">
        <v>18</v>
      </c>
      <c r="C7" s="18" t="n">
        <f aca="false">IF(B7="","",B7/SUM($B$5:$B$14))</f>
        <v>0.18</v>
      </c>
      <c r="D7" s="19" t="n">
        <f aca="false">IF(A7="","",IFERROR(INDEX('Matérias-Primas'!$D$5:$D$45,MATCH(A7,'Matérias-Primas'!$A$5:$A$45,0)),0))</f>
        <v>8</v>
      </c>
      <c r="E7" s="20" t="n">
        <f aca="false">IF(A7="",0,C7*IFERROR(INDEX('Matérias-Primas'!$F$5:$F$45,MATCH(A7,'Matérias-Primas'!$A$5:$A$45,0)),0))</f>
        <v>9.306</v>
      </c>
      <c r="F7" s="20" t="n">
        <f aca="false">IF(A7="",0,C7*IFERROR(INDEX('Matérias-Primas'!$G$5:$G$45,MATCH(A7,'Matérias-Primas'!$A$5:$A$45,0)),0))</f>
        <v>0</v>
      </c>
      <c r="G7" s="20" t="n">
        <f aca="false">IF(A7="",0,C7*IFERROR(INDEX('Matérias-Primas'!$H$5:$H$45,MATCH(A7,'Matérias-Primas'!$A$5:$A$45,0)),0))</f>
        <v>0</v>
      </c>
      <c r="H7" s="20" t="n">
        <f aca="false">IF(A7="",0,C7*IFERROR(INDEX('Matérias-Primas'!$I$5:$I$45,MATCH(A7,'Matérias-Primas'!$A$5:$A$45,0)),0))</f>
        <v>0</v>
      </c>
      <c r="I7" s="20" t="n">
        <f aca="false">IF(A7="",0,C7*IFERROR(INDEX('Matérias-Primas'!$J$5:$J$45,MATCH(A7,'Matérias-Primas'!$A$5:$A$45,0)),0))</f>
        <v>0</v>
      </c>
      <c r="J7" s="20" t="n">
        <f aca="false">IF(A7="",0,C7*IFERROR(INDEX('Matérias-Primas'!$K$5:$K$45,MATCH(A7,'Matérias-Primas'!$A$5:$A$45,0)),0))</f>
        <v>0</v>
      </c>
      <c r="K7" s="20" t="n">
        <f aca="false">IF(A7="",0,C7*IFERROR(INDEX('Matérias-Primas'!$L$5:$L$45,MATCH(A7,'Matérias-Primas'!$A$5:$A$45,0)),0))</f>
        <v>8.694</v>
      </c>
      <c r="L7" s="20" t="n">
        <f aca="false">IF(A7="",0,C7*IFERROR(INDEX('Matérias-Primas'!$M$5:$M$45,MATCH(A7,'Matérias-Primas'!$A$5:$A$45,0)),0))</f>
        <v>0</v>
      </c>
      <c r="M7" s="20" t="n">
        <f aca="false">IF(A7="",0,C7*IFERROR(INDEX('Matérias-Primas'!$N$5:$N$45,MATCH(A7,'Matérias-Primas'!$A$5:$A$45,0)),0))</f>
        <v>0</v>
      </c>
      <c r="N7" s="20" t="n">
        <f aca="false">IF(A7="",0,C7*IFERROR(INDEX('Matérias-Primas'!$O$5:$O$45,MATCH(A7,'Matérias-Primas'!$A$5:$A$45,0)),0))</f>
        <v>0</v>
      </c>
      <c r="O7" s="20" t="n">
        <f aca="false">IF(A7="",0,C7*IFERROR(INDEX('Matérias-Primas'!$P$5:$P$45,MATCH(A7,'Matérias-Primas'!$A$5:$A$45,0)),0))</f>
        <v>0</v>
      </c>
      <c r="P7" s="20" t="n">
        <f aca="false">IF(A7="",0,C7*IFERROR(INDEX('Matérias-Primas'!$Q$5:$Q$45,MATCH(A7,'Matérias-Primas'!$A$5:$A$45,0)),0))</f>
        <v>0</v>
      </c>
      <c r="Q7" s="20" t="n">
        <f aca="false">IF(A7="",0,C7*IFERROR(INDEX('Matérias-Primas'!$R$5:$R$45,MATCH(A7,'Matérias-Primas'!$A$5:$A$45,0)),0))</f>
        <v>0</v>
      </c>
    </row>
    <row r="8" customFormat="false" ht="15" hidden="false" customHeight="false" outlineLevel="0" collapsed="false">
      <c r="A8" s="13" t="s">
        <v>69</v>
      </c>
      <c r="B8" s="15" t="n">
        <v>5</v>
      </c>
      <c r="C8" s="18" t="n">
        <f aca="false">IF(B8="","",B8/SUM($B$5:$B$14))</f>
        <v>0.05</v>
      </c>
      <c r="D8" s="19" t="n">
        <f aca="false">IF(A8="","",IFERROR(INDEX('Matérias-Primas'!$D$5:$D$45,MATCH(A8,'Matérias-Primas'!$A$5:$A$45,0)),0))</f>
        <v>4</v>
      </c>
      <c r="E8" s="20" t="n">
        <f aca="false">IF(A8="",0,C8*IFERROR(INDEX('Matérias-Primas'!$F$5:$F$45,MATCH(A8,'Matérias-Primas'!$A$5:$A$45,0)),0))</f>
        <v>3.175</v>
      </c>
      <c r="F8" s="20" t="n">
        <f aca="false">IF(A8="",0,C8*IFERROR(INDEX('Matérias-Primas'!$G$5:$G$45,MATCH(A8,'Matérias-Primas'!$A$5:$A$45,0)),0))</f>
        <v>0</v>
      </c>
      <c r="G8" s="20" t="n">
        <f aca="false">IF(A8="",0,C8*IFERROR(INDEX('Matérias-Primas'!$H$5:$H$45,MATCH(A8,'Matérias-Primas'!$A$5:$A$45,0)),0))</f>
        <v>0</v>
      </c>
      <c r="H8" s="20" t="n">
        <f aca="false">IF(A8="",0,C8*IFERROR(INDEX('Matérias-Primas'!$I$5:$I$45,MATCH(A8,'Matérias-Primas'!$A$5:$A$45,0)),0))</f>
        <v>0</v>
      </c>
      <c r="I8" s="20" t="n">
        <f aca="false">IF(A8="",0,C8*IFERROR(INDEX('Matérias-Primas'!$J$5:$J$45,MATCH(A8,'Matérias-Primas'!$A$5:$A$45,0)),0))</f>
        <v>0</v>
      </c>
      <c r="J8" s="20" t="n">
        <f aca="false">IF(A8="",0,C8*IFERROR(INDEX('Matérias-Primas'!$K$5:$K$45,MATCH(A8,'Matérias-Primas'!$A$5:$A$45,0)),0))</f>
        <v>0</v>
      </c>
      <c r="K8" s="20" t="n">
        <f aca="false">IF(A8="",0,C8*IFERROR(INDEX('Matérias-Primas'!$L$5:$L$45,MATCH(A8,'Matérias-Primas'!$A$5:$A$45,0)),0))</f>
        <v>0</v>
      </c>
      <c r="L8" s="20" t="n">
        <f aca="false">IF(A8="",0,C8*IFERROR(INDEX('Matérias-Primas'!$M$5:$M$45,MATCH(A8,'Matérias-Primas'!$A$5:$A$45,0)),0))</f>
        <v>1.595</v>
      </c>
      <c r="M8" s="20" t="n">
        <f aca="false">IF(A8="",0,C8*IFERROR(INDEX('Matérias-Primas'!$N$5:$N$45,MATCH(A8,'Matérias-Primas'!$A$5:$A$45,0)),0))</f>
        <v>0</v>
      </c>
      <c r="N8" s="20" t="n">
        <f aca="false">IF(A8="",0,C8*IFERROR(INDEX('Matérias-Primas'!$O$5:$O$45,MATCH(A8,'Matérias-Primas'!$A$5:$A$45,0)),0))</f>
        <v>0</v>
      </c>
      <c r="O8" s="20" t="n">
        <f aca="false">IF(A8="",0,C8*IFERROR(INDEX('Matérias-Primas'!$P$5:$P$45,MATCH(A8,'Matérias-Primas'!$A$5:$A$45,0)),0))</f>
        <v>0</v>
      </c>
      <c r="P8" s="20" t="n">
        <f aca="false">IF(A8="",0,C8*IFERROR(INDEX('Matérias-Primas'!$Q$5:$Q$45,MATCH(A8,'Matérias-Primas'!$A$5:$A$45,0)),0))</f>
        <v>0</v>
      </c>
      <c r="Q8" s="20" t="n">
        <f aca="false">IF(A8="",0,C8*IFERROR(INDEX('Matérias-Primas'!$R$5:$R$45,MATCH(A8,'Matérias-Primas'!$A$5:$A$45,0)),0))</f>
        <v>0</v>
      </c>
    </row>
    <row r="9" customFormat="false" ht="15" hidden="false" customHeight="false" outlineLevel="0" collapsed="false">
      <c r="A9" s="13" t="s">
        <v>62</v>
      </c>
      <c r="B9" s="15" t="n">
        <v>10</v>
      </c>
      <c r="C9" s="18" t="n">
        <f aca="false">IF(B9="","",B9/SUM($B$5:$B$14))</f>
        <v>0.1</v>
      </c>
      <c r="D9" s="19" t="n">
        <f aca="false">IF(A9="","",IFERROR(INDEX('Matérias-Primas'!$D$5:$D$45,MATCH(A9,'Matérias-Primas'!$A$5:$A$45,0)),0))</f>
        <v>2.5</v>
      </c>
      <c r="E9" s="20" t="n">
        <f aca="false">IF(A9="",0,C9*IFERROR(INDEX('Matérias-Primas'!$F$5:$F$45,MATCH(A9,'Matérias-Primas'!$A$5:$A$45,0)),0))</f>
        <v>4.65</v>
      </c>
      <c r="F9" s="20" t="n">
        <f aca="false">IF(A9="",0,C9*IFERROR(INDEX('Matérias-Primas'!$G$5:$G$45,MATCH(A9,'Matérias-Primas'!$A$5:$A$45,0)),0))</f>
        <v>3.95</v>
      </c>
      <c r="G9" s="20" t="n">
        <f aca="false">IF(A9="",0,C9*IFERROR(INDEX('Matérias-Primas'!$H$5:$H$45,MATCH(A9,'Matérias-Primas'!$A$5:$A$45,0)),0))</f>
        <v>0</v>
      </c>
      <c r="H9" s="20" t="n">
        <f aca="false">IF(A9="",0,C9*IFERROR(INDEX('Matérias-Primas'!$I$5:$I$45,MATCH(A9,'Matérias-Primas'!$A$5:$A$45,0)),0))</f>
        <v>0</v>
      </c>
      <c r="I9" s="20" t="n">
        <f aca="false">IF(A9="",0,C9*IFERROR(INDEX('Matérias-Primas'!$J$5:$J$45,MATCH(A9,'Matérias-Primas'!$A$5:$A$45,0)),0))</f>
        <v>0</v>
      </c>
      <c r="J9" s="20" t="n">
        <f aca="false">IF(A9="",0,C9*IFERROR(INDEX('Matérias-Primas'!$K$5:$K$45,MATCH(A9,'Matérias-Primas'!$A$5:$A$45,0)),0))</f>
        <v>0</v>
      </c>
      <c r="K9" s="20" t="n">
        <f aca="false">IF(A9="",0,C9*IFERROR(INDEX('Matérias-Primas'!$L$5:$L$45,MATCH(A9,'Matérias-Primas'!$A$5:$A$45,0)),0))</f>
        <v>0</v>
      </c>
      <c r="L9" s="20" t="n">
        <f aca="false">IF(A9="",0,C9*IFERROR(INDEX('Matérias-Primas'!$M$5:$M$45,MATCH(A9,'Matérias-Primas'!$A$5:$A$45,0)),0))</f>
        <v>0</v>
      </c>
      <c r="M9" s="20" t="n">
        <f aca="false">IF(A9="",0,C9*IFERROR(INDEX('Matérias-Primas'!$N$5:$N$45,MATCH(A9,'Matérias-Primas'!$A$5:$A$45,0)),0))</f>
        <v>0</v>
      </c>
      <c r="N9" s="20" t="n">
        <f aca="false">IF(A9="",0,C9*IFERROR(INDEX('Matérias-Primas'!$O$5:$O$45,MATCH(A9,'Matérias-Primas'!$A$5:$A$45,0)),0))</f>
        <v>0</v>
      </c>
      <c r="O9" s="20" t="n">
        <f aca="false">IF(A9="",0,C9*IFERROR(INDEX('Matérias-Primas'!$P$5:$P$45,MATCH(A9,'Matérias-Primas'!$A$5:$A$45,0)),0))</f>
        <v>0</v>
      </c>
      <c r="P9" s="20" t="n">
        <f aca="false">IF(A9="",0,C9*IFERROR(INDEX('Matérias-Primas'!$Q$5:$Q$45,MATCH(A9,'Matérias-Primas'!$A$5:$A$45,0)),0))</f>
        <v>0.01</v>
      </c>
      <c r="Q9" s="20" t="n">
        <f aca="false">IF(A9="",0,C9*IFERROR(INDEX('Matérias-Primas'!$R$5:$R$45,MATCH(A9,'Matérias-Primas'!$A$5:$A$45,0)),0))</f>
        <v>0</v>
      </c>
    </row>
    <row r="10" customFormat="false" ht="15" hidden="false" customHeight="false" outlineLevel="0" collapsed="false">
      <c r="A10" s="13" t="s">
        <v>64</v>
      </c>
      <c r="B10" s="15" t="n">
        <v>20</v>
      </c>
      <c r="C10" s="18" t="n">
        <f aca="false">IF(B10="","",B10/SUM($B$5:$B$14))</f>
        <v>0.2</v>
      </c>
      <c r="D10" s="19" t="n">
        <f aca="false">IF(A10="","",IFERROR(INDEX('Matérias-Primas'!$D$5:$D$45,MATCH(A10,'Matérias-Primas'!$A$5:$A$45,0)),0))</f>
        <v>2</v>
      </c>
      <c r="E10" s="20" t="n">
        <f aca="false">IF(A10="",0,C10*IFERROR(INDEX('Matérias-Primas'!$F$5:$F$45,MATCH(A10,'Matérias-Primas'!$A$5:$A$45,0)),0))</f>
        <v>20</v>
      </c>
      <c r="F10" s="20" t="n">
        <f aca="false">IF(A10="",0,C10*IFERROR(INDEX('Matérias-Primas'!$G$5:$G$45,MATCH(A10,'Matérias-Primas'!$A$5:$A$45,0)),0))</f>
        <v>0</v>
      </c>
      <c r="G10" s="20" t="n">
        <f aca="false">IF(A10="",0,C10*IFERROR(INDEX('Matérias-Primas'!$H$5:$H$45,MATCH(A10,'Matérias-Primas'!$A$5:$A$45,0)),0))</f>
        <v>0</v>
      </c>
      <c r="H10" s="20" t="n">
        <f aca="false">IF(A10="",0,C10*IFERROR(INDEX('Matérias-Primas'!$I$5:$I$45,MATCH(A10,'Matérias-Primas'!$A$5:$A$45,0)),0))</f>
        <v>0</v>
      </c>
      <c r="I10" s="20" t="n">
        <f aca="false">IF(A10="",0,C10*IFERROR(INDEX('Matérias-Primas'!$J$5:$J$45,MATCH(A10,'Matérias-Primas'!$A$5:$A$45,0)),0))</f>
        <v>0</v>
      </c>
      <c r="J10" s="20" t="n">
        <f aca="false">IF(A10="",0,C10*IFERROR(INDEX('Matérias-Primas'!$K$5:$K$45,MATCH(A10,'Matérias-Primas'!$A$5:$A$45,0)),0))</f>
        <v>0</v>
      </c>
      <c r="K10" s="20" t="n">
        <f aca="false">IF(A10="",0,C10*IFERROR(INDEX('Matérias-Primas'!$L$5:$L$45,MATCH(A10,'Matérias-Primas'!$A$5:$A$45,0)),0))</f>
        <v>0</v>
      </c>
      <c r="L10" s="20" t="n">
        <f aca="false">IF(A10="",0,C10*IFERROR(INDEX('Matérias-Primas'!$M$5:$M$45,MATCH(A10,'Matérias-Primas'!$A$5:$A$45,0)),0))</f>
        <v>0</v>
      </c>
      <c r="M10" s="20" t="n">
        <f aca="false">IF(A10="",0,C10*IFERROR(INDEX('Matérias-Primas'!$N$5:$N$45,MATCH(A10,'Matérias-Primas'!$A$5:$A$45,0)),0))</f>
        <v>0</v>
      </c>
      <c r="N10" s="20" t="n">
        <f aca="false">IF(A10="",0,C10*IFERROR(INDEX('Matérias-Primas'!$O$5:$O$45,MATCH(A10,'Matérias-Primas'!$A$5:$A$45,0)),0))</f>
        <v>0</v>
      </c>
      <c r="O10" s="20" t="n">
        <f aca="false">IF(A10="",0,C10*IFERROR(INDEX('Matérias-Primas'!$P$5:$P$45,MATCH(A10,'Matérias-Primas'!$A$5:$A$45,0)),0))</f>
        <v>0</v>
      </c>
      <c r="P10" s="20" t="n">
        <f aca="false">IF(A10="",0,C10*IFERROR(INDEX('Matérias-Primas'!$Q$5:$Q$45,MATCH(A10,'Matérias-Primas'!$A$5:$A$45,0)),0))</f>
        <v>0</v>
      </c>
      <c r="Q10" s="20" t="n">
        <f aca="false">IF(A10="",0,C10*IFERROR(INDEX('Matérias-Primas'!$R$5:$R$45,MATCH(A10,'Matérias-Primas'!$A$5:$A$45,0)),0))</f>
        <v>0</v>
      </c>
    </row>
    <row r="11" customFormat="false" ht="15" hidden="false" customHeight="false" outlineLevel="0" collapsed="false">
      <c r="A11" s="13"/>
      <c r="B11" s="15"/>
      <c r="C11" s="18" t="str">
        <f aca="false">IF(B11="","",B11/SUM($B$5:$B$14))</f>
        <v/>
      </c>
      <c r="D11" s="19" t="str">
        <f aca="false">IF(A11="","",IFERROR(INDEX('Matérias-Primas'!$D$5:$D$45,MATCH(A11,'Matérias-Primas'!$A$5:$A$45,0)),0))</f>
        <v/>
      </c>
      <c r="E11" s="20" t="n">
        <f aca="false">IF(A11="",0,C11*IFERROR(INDEX('Matérias-Primas'!$F$5:$F$45,MATCH(A11,'Matérias-Primas'!$A$5:$A$45,0)),0))</f>
        <v>0</v>
      </c>
      <c r="F11" s="20" t="n">
        <f aca="false">IF(A11="",0,C11*IFERROR(INDEX('Matérias-Primas'!$G$5:$G$45,MATCH(A11,'Matérias-Primas'!$A$5:$A$45,0)),0))</f>
        <v>0</v>
      </c>
      <c r="G11" s="20" t="n">
        <f aca="false">IF(A11="",0,C11*IFERROR(INDEX('Matérias-Primas'!$H$5:$H$45,MATCH(A11,'Matérias-Primas'!$A$5:$A$45,0)),0))</f>
        <v>0</v>
      </c>
      <c r="H11" s="20" t="n">
        <f aca="false">IF(A11="",0,C11*IFERROR(INDEX('Matérias-Primas'!$I$5:$I$45,MATCH(A11,'Matérias-Primas'!$A$5:$A$45,0)),0))</f>
        <v>0</v>
      </c>
      <c r="I11" s="20" t="n">
        <f aca="false">IF(A11="",0,C11*IFERROR(INDEX('Matérias-Primas'!$J$5:$J$45,MATCH(A11,'Matérias-Primas'!$A$5:$A$45,0)),0))</f>
        <v>0</v>
      </c>
      <c r="J11" s="20" t="n">
        <f aca="false">IF(A11="",0,C11*IFERROR(INDEX('Matérias-Primas'!$K$5:$K$45,MATCH(A11,'Matérias-Primas'!$A$5:$A$45,0)),0))</f>
        <v>0</v>
      </c>
      <c r="K11" s="20" t="n">
        <f aca="false">IF(A11="",0,C11*IFERROR(INDEX('Matérias-Primas'!$L$5:$L$45,MATCH(A11,'Matérias-Primas'!$A$5:$A$45,0)),0))</f>
        <v>0</v>
      </c>
      <c r="L11" s="20" t="n">
        <f aca="false">IF(A11="",0,C11*IFERROR(INDEX('Matérias-Primas'!$M$5:$M$45,MATCH(A11,'Matérias-Primas'!$A$5:$A$45,0)),0))</f>
        <v>0</v>
      </c>
      <c r="M11" s="20" t="n">
        <f aca="false">IF(A11="",0,C11*IFERROR(INDEX('Matérias-Primas'!$N$5:$N$45,MATCH(A11,'Matérias-Primas'!$A$5:$A$45,0)),0))</f>
        <v>0</v>
      </c>
      <c r="N11" s="20" t="n">
        <f aca="false">IF(A11="",0,C11*IFERROR(INDEX('Matérias-Primas'!$O$5:$O$45,MATCH(A11,'Matérias-Primas'!$A$5:$A$45,0)),0))</f>
        <v>0</v>
      </c>
      <c r="O11" s="20" t="n">
        <f aca="false">IF(A11="",0,C11*IFERROR(INDEX('Matérias-Primas'!$P$5:$P$45,MATCH(A11,'Matérias-Primas'!$A$5:$A$45,0)),0))</f>
        <v>0</v>
      </c>
      <c r="P11" s="20" t="n">
        <f aca="false">IF(A11="",0,C11*IFERROR(INDEX('Matérias-Primas'!$Q$5:$Q$45,MATCH(A11,'Matérias-Primas'!$A$5:$A$45,0)),0))</f>
        <v>0</v>
      </c>
      <c r="Q11" s="20" t="n">
        <f aca="false">IF(A11="",0,C11*IFERROR(INDEX('Matérias-Primas'!$R$5:$R$45,MATCH(A11,'Matérias-Primas'!$A$5:$A$45,0)),0))</f>
        <v>0</v>
      </c>
    </row>
    <row r="12" customFormat="false" ht="15" hidden="false" customHeight="false" outlineLevel="0" collapsed="false">
      <c r="A12" s="13"/>
      <c r="B12" s="15"/>
      <c r="C12" s="18" t="str">
        <f aca="false">IF(B12="","",B12/SUM($B$5:$B$14))</f>
        <v/>
      </c>
      <c r="D12" s="19" t="str">
        <f aca="false">IF(A12="","",IFERROR(INDEX('Matérias-Primas'!$D$5:$D$45,MATCH(A12,'Matérias-Primas'!$A$5:$A$45,0)),0))</f>
        <v/>
      </c>
      <c r="E12" s="20" t="n">
        <f aca="false">IF(A12="",0,C12*IFERROR(INDEX('Matérias-Primas'!$F$5:$F$45,MATCH(A12,'Matérias-Primas'!$A$5:$A$45,0)),0))</f>
        <v>0</v>
      </c>
      <c r="F12" s="20" t="n">
        <f aca="false">IF(A12="",0,C12*IFERROR(INDEX('Matérias-Primas'!$G$5:$G$45,MATCH(A12,'Matérias-Primas'!$A$5:$A$45,0)),0))</f>
        <v>0</v>
      </c>
      <c r="G12" s="20" t="n">
        <f aca="false">IF(A12="",0,C12*IFERROR(INDEX('Matérias-Primas'!$H$5:$H$45,MATCH(A12,'Matérias-Primas'!$A$5:$A$45,0)),0))</f>
        <v>0</v>
      </c>
      <c r="H12" s="20" t="n">
        <f aca="false">IF(A12="",0,C12*IFERROR(INDEX('Matérias-Primas'!$I$5:$I$45,MATCH(A12,'Matérias-Primas'!$A$5:$A$45,0)),0))</f>
        <v>0</v>
      </c>
      <c r="I12" s="20" t="n">
        <f aca="false">IF(A12="",0,C12*IFERROR(INDEX('Matérias-Primas'!$J$5:$J$45,MATCH(A12,'Matérias-Primas'!$A$5:$A$45,0)),0))</f>
        <v>0</v>
      </c>
      <c r="J12" s="20" t="n">
        <f aca="false">IF(A12="",0,C12*IFERROR(INDEX('Matérias-Primas'!$K$5:$K$45,MATCH(A12,'Matérias-Primas'!$A$5:$A$45,0)),0))</f>
        <v>0</v>
      </c>
      <c r="K12" s="20" t="n">
        <f aca="false">IF(A12="",0,C12*IFERROR(INDEX('Matérias-Primas'!$L$5:$L$45,MATCH(A12,'Matérias-Primas'!$A$5:$A$45,0)),0))</f>
        <v>0</v>
      </c>
      <c r="L12" s="20" t="n">
        <f aca="false">IF(A12="",0,C12*IFERROR(INDEX('Matérias-Primas'!$M$5:$M$45,MATCH(A12,'Matérias-Primas'!$A$5:$A$45,0)),0))</f>
        <v>0</v>
      </c>
      <c r="M12" s="20" t="n">
        <f aca="false">IF(A12="",0,C12*IFERROR(INDEX('Matérias-Primas'!$N$5:$N$45,MATCH(A12,'Matérias-Primas'!$A$5:$A$45,0)),0))</f>
        <v>0</v>
      </c>
      <c r="N12" s="20" t="n">
        <f aca="false">IF(A12="",0,C12*IFERROR(INDEX('Matérias-Primas'!$O$5:$O$45,MATCH(A12,'Matérias-Primas'!$A$5:$A$45,0)),0))</f>
        <v>0</v>
      </c>
      <c r="O12" s="20" t="n">
        <f aca="false">IF(A12="",0,C12*IFERROR(INDEX('Matérias-Primas'!$P$5:$P$45,MATCH(A12,'Matérias-Primas'!$A$5:$A$45,0)),0))</f>
        <v>0</v>
      </c>
      <c r="P12" s="20" t="n">
        <f aca="false">IF(A12="",0,C12*IFERROR(INDEX('Matérias-Primas'!$Q$5:$Q$45,MATCH(A12,'Matérias-Primas'!$A$5:$A$45,0)),0))</f>
        <v>0</v>
      </c>
      <c r="Q12" s="20" t="n">
        <f aca="false">IF(A12="",0,C12*IFERROR(INDEX('Matérias-Primas'!$R$5:$R$45,MATCH(A12,'Matérias-Primas'!$A$5:$A$45,0)),0))</f>
        <v>0</v>
      </c>
    </row>
    <row r="13" customFormat="false" ht="15" hidden="false" customHeight="false" outlineLevel="0" collapsed="false">
      <c r="A13" s="13"/>
      <c r="B13" s="15"/>
      <c r="C13" s="18" t="str">
        <f aca="false">IF(B13="","",B13/SUM($B$5:$B$14))</f>
        <v/>
      </c>
      <c r="D13" s="19" t="str">
        <f aca="false">IF(A13="","",IFERROR(INDEX('Matérias-Primas'!$D$5:$D$45,MATCH(A13,'Matérias-Primas'!$A$5:$A$45,0)),0))</f>
        <v/>
      </c>
      <c r="E13" s="20" t="n">
        <f aca="false">IF(A13="",0,C13*IFERROR(INDEX('Matérias-Primas'!$F$5:$F$45,MATCH(A13,'Matérias-Primas'!$A$5:$A$45,0)),0))</f>
        <v>0</v>
      </c>
      <c r="F13" s="20" t="n">
        <f aca="false">IF(A13="",0,C13*IFERROR(INDEX('Matérias-Primas'!$G$5:$G$45,MATCH(A13,'Matérias-Primas'!$A$5:$A$45,0)),0))</f>
        <v>0</v>
      </c>
      <c r="G13" s="20" t="n">
        <f aca="false">IF(A13="",0,C13*IFERROR(INDEX('Matérias-Primas'!$H$5:$H$45,MATCH(A13,'Matérias-Primas'!$A$5:$A$45,0)),0))</f>
        <v>0</v>
      </c>
      <c r="H13" s="20" t="n">
        <f aca="false">IF(A13="",0,C13*IFERROR(INDEX('Matérias-Primas'!$I$5:$I$45,MATCH(A13,'Matérias-Primas'!$A$5:$A$45,0)),0))</f>
        <v>0</v>
      </c>
      <c r="I13" s="20" t="n">
        <f aca="false">IF(A13="",0,C13*IFERROR(INDEX('Matérias-Primas'!$J$5:$J$45,MATCH(A13,'Matérias-Primas'!$A$5:$A$45,0)),0))</f>
        <v>0</v>
      </c>
      <c r="J13" s="20" t="n">
        <f aca="false">IF(A13="",0,C13*IFERROR(INDEX('Matérias-Primas'!$K$5:$K$45,MATCH(A13,'Matérias-Primas'!$A$5:$A$45,0)),0))</f>
        <v>0</v>
      </c>
      <c r="K13" s="20" t="n">
        <f aca="false">IF(A13="",0,C13*IFERROR(INDEX('Matérias-Primas'!$L$5:$L$45,MATCH(A13,'Matérias-Primas'!$A$5:$A$45,0)),0))</f>
        <v>0</v>
      </c>
      <c r="L13" s="20" t="n">
        <f aca="false">IF(A13="",0,C13*IFERROR(INDEX('Matérias-Primas'!$M$5:$M$45,MATCH(A13,'Matérias-Primas'!$A$5:$A$45,0)),0))</f>
        <v>0</v>
      </c>
      <c r="M13" s="20" t="n">
        <f aca="false">IF(A13="",0,C13*IFERROR(INDEX('Matérias-Primas'!$N$5:$N$45,MATCH(A13,'Matérias-Primas'!$A$5:$A$45,0)),0))</f>
        <v>0</v>
      </c>
      <c r="N13" s="20" t="n">
        <f aca="false">IF(A13="",0,C13*IFERROR(INDEX('Matérias-Primas'!$O$5:$O$45,MATCH(A13,'Matérias-Primas'!$A$5:$A$45,0)),0))</f>
        <v>0</v>
      </c>
      <c r="O13" s="20" t="n">
        <f aca="false">IF(A13="",0,C13*IFERROR(INDEX('Matérias-Primas'!$P$5:$P$45,MATCH(A13,'Matérias-Primas'!$A$5:$A$45,0)),0))</f>
        <v>0</v>
      </c>
      <c r="P13" s="20" t="n">
        <f aca="false">IF(A13="",0,C13*IFERROR(INDEX('Matérias-Primas'!$Q$5:$Q$45,MATCH(A13,'Matérias-Primas'!$A$5:$A$45,0)),0))</f>
        <v>0</v>
      </c>
      <c r="Q13" s="20" t="n">
        <f aca="false">IF(A13="",0,C13*IFERROR(INDEX('Matérias-Primas'!$R$5:$R$45,MATCH(A13,'Matérias-Primas'!$A$5:$A$45,0)),0))</f>
        <v>0</v>
      </c>
    </row>
    <row r="14" customFormat="false" ht="15" hidden="false" customHeight="false" outlineLevel="0" collapsed="false">
      <c r="A14" s="13"/>
      <c r="B14" s="15"/>
      <c r="C14" s="18" t="str">
        <f aca="false">IF(B14="","",B14/SUM($B$5:$B$14))</f>
        <v/>
      </c>
      <c r="D14" s="19" t="str">
        <f aca="false">IF(A14="","",IFERROR(INDEX('Matérias-Primas'!$D$5:$D$45,MATCH(A14,'Matérias-Primas'!$A$5:$A$45,0)),0))</f>
        <v/>
      </c>
      <c r="E14" s="20" t="n">
        <f aca="false">IF(A14="",0,C14*IFERROR(INDEX('Matérias-Primas'!$F$5:$F$45,MATCH(A14,'Matérias-Primas'!$A$5:$A$45,0)),0))</f>
        <v>0</v>
      </c>
      <c r="F14" s="20" t="n">
        <f aca="false">IF(A14="",0,C14*IFERROR(INDEX('Matérias-Primas'!$G$5:$G$45,MATCH(A14,'Matérias-Primas'!$A$5:$A$45,0)),0))</f>
        <v>0</v>
      </c>
      <c r="G14" s="20" t="n">
        <f aca="false">IF(A14="",0,C14*IFERROR(INDEX('Matérias-Primas'!$H$5:$H$45,MATCH(A14,'Matérias-Primas'!$A$5:$A$45,0)),0))</f>
        <v>0</v>
      </c>
      <c r="H14" s="20" t="n">
        <f aca="false">IF(A14="",0,C14*IFERROR(INDEX('Matérias-Primas'!$I$5:$I$45,MATCH(A14,'Matérias-Primas'!$A$5:$A$45,0)),0))</f>
        <v>0</v>
      </c>
      <c r="I14" s="20" t="n">
        <f aca="false">IF(A14="",0,C14*IFERROR(INDEX('Matérias-Primas'!$J$5:$J$45,MATCH(A14,'Matérias-Primas'!$A$5:$A$45,0)),0))</f>
        <v>0</v>
      </c>
      <c r="J14" s="20" t="n">
        <f aca="false">IF(A14="",0,C14*IFERROR(INDEX('Matérias-Primas'!$K$5:$K$45,MATCH(A14,'Matérias-Primas'!$A$5:$A$45,0)),0))</f>
        <v>0</v>
      </c>
      <c r="K14" s="20" t="n">
        <f aca="false">IF(A14="",0,C14*IFERROR(INDEX('Matérias-Primas'!$L$5:$L$45,MATCH(A14,'Matérias-Primas'!$A$5:$A$45,0)),0))</f>
        <v>0</v>
      </c>
      <c r="L14" s="20" t="n">
        <f aca="false">IF(A14="",0,C14*IFERROR(INDEX('Matérias-Primas'!$M$5:$M$45,MATCH(A14,'Matérias-Primas'!$A$5:$A$45,0)),0))</f>
        <v>0</v>
      </c>
      <c r="M14" s="20" t="n">
        <f aca="false">IF(A14="",0,C14*IFERROR(INDEX('Matérias-Primas'!$N$5:$N$45,MATCH(A14,'Matérias-Primas'!$A$5:$A$45,0)),0))</f>
        <v>0</v>
      </c>
      <c r="N14" s="20" t="n">
        <f aca="false">IF(A14="",0,C14*IFERROR(INDEX('Matérias-Primas'!$O$5:$O$45,MATCH(A14,'Matérias-Primas'!$A$5:$A$45,0)),0))</f>
        <v>0</v>
      </c>
      <c r="O14" s="20" t="n">
        <f aca="false">IF(A14="",0,C14*IFERROR(INDEX('Matérias-Primas'!$P$5:$P$45,MATCH(A14,'Matérias-Primas'!$A$5:$A$45,0)),0))</f>
        <v>0</v>
      </c>
      <c r="P14" s="20" t="n">
        <f aca="false">IF(A14="",0,C14*IFERROR(INDEX('Matérias-Primas'!$Q$5:$Q$45,MATCH(A14,'Matérias-Primas'!$A$5:$A$45,0)),0))</f>
        <v>0</v>
      </c>
      <c r="Q14" s="20" t="n">
        <f aca="false">IF(A14="",0,C14*IFERROR(INDEX('Matérias-Primas'!$R$5:$R$45,MATCH(A14,'Matérias-Primas'!$A$5:$A$45,0)),0))</f>
        <v>0</v>
      </c>
    </row>
    <row r="15" customFormat="false" ht="15" hidden="false" customHeight="false" outlineLevel="0" collapsed="false">
      <c r="A15" s="5" t="s">
        <v>123</v>
      </c>
      <c r="B15" s="21" t="n">
        <f aca="false">SUM(B5:B14)</f>
        <v>100</v>
      </c>
      <c r="C15" s="22" t="n">
        <f aca="false">SUM(C5:C14)</f>
        <v>1</v>
      </c>
      <c r="D15" s="2"/>
      <c r="E15" s="23" t="n">
        <f aca="false">SUM(E5:E14)</f>
        <v>66.161</v>
      </c>
      <c r="F15" s="23" t="n">
        <f aca="false">SUM(F5:F14)</f>
        <v>10.425</v>
      </c>
      <c r="G15" s="23" t="n">
        <f aca="false">SUM(G5:G14)</f>
        <v>2.772</v>
      </c>
      <c r="H15" s="23" t="n">
        <f aca="false">SUM(H5:H14)</f>
        <v>2.286</v>
      </c>
      <c r="I15" s="23" t="n">
        <f aca="false">SUM(I5:I14)</f>
        <v>3.85</v>
      </c>
      <c r="J15" s="23" t="n">
        <f aca="false">SUM(J5:J14)</f>
        <v>0</v>
      </c>
      <c r="K15" s="23" t="n">
        <f aca="false">SUM(K5:K14)</f>
        <v>11.176</v>
      </c>
      <c r="L15" s="23" t="n">
        <f aca="false">SUM(L5:L14)</f>
        <v>1.595</v>
      </c>
      <c r="M15" s="23" t="n">
        <f aca="false">SUM(M5:M14)</f>
        <v>0</v>
      </c>
      <c r="N15" s="23" t="n">
        <f aca="false">SUM(N5:N14)</f>
        <v>0</v>
      </c>
      <c r="O15" s="23" t="n">
        <f aca="false">SUM(O5:O14)</f>
        <v>0</v>
      </c>
      <c r="P15" s="23" t="n">
        <f aca="false">SUM(P5:P14)</f>
        <v>0.045</v>
      </c>
      <c r="Q15" s="23" t="n">
        <f aca="false">SUM(Q5:Q14)</f>
        <v>0</v>
      </c>
    </row>
    <row r="16" customFormat="false" ht="15" hidden="false" customHeight="false" outlineLevel="0" collapsed="false">
      <c r="A16" s="5" t="s">
        <v>124</v>
      </c>
      <c r="B16" s="2"/>
      <c r="C16" s="2"/>
      <c r="D16" s="2"/>
      <c r="E16" s="24" t="n">
        <f aca="false">'Matérias-Primas'!F3</f>
        <v>60.08</v>
      </c>
      <c r="F16" s="24" t="n">
        <f aca="false">'Matérias-Primas'!G3</f>
        <v>101.96</v>
      </c>
      <c r="G16" s="24" t="n">
        <f aca="false">'Matérias-Primas'!H3</f>
        <v>69.62</v>
      </c>
      <c r="H16" s="24" t="n">
        <f aca="false">'Matérias-Primas'!I3</f>
        <v>61.98</v>
      </c>
      <c r="I16" s="24" t="n">
        <f aca="false">'Matérias-Primas'!J3</f>
        <v>94.2</v>
      </c>
      <c r="J16" s="24" t="n">
        <f aca="false">'Matérias-Primas'!K3</f>
        <v>29.88</v>
      </c>
      <c r="K16" s="24" t="n">
        <f aca="false">'Matérias-Primas'!L3</f>
        <v>56.08</v>
      </c>
      <c r="L16" s="24" t="n">
        <f aca="false">'Matérias-Primas'!M3</f>
        <v>40.3</v>
      </c>
      <c r="M16" s="24" t="n">
        <f aca="false">'Matérias-Primas'!N3</f>
        <v>103.62</v>
      </c>
      <c r="N16" s="24" t="n">
        <f aca="false">'Matérias-Primas'!O3</f>
        <v>81.38</v>
      </c>
      <c r="O16" s="24" t="n">
        <f aca="false">'Matérias-Primas'!P3</f>
        <v>123.22</v>
      </c>
      <c r="P16" s="24" t="n">
        <f aca="false">'Matérias-Primas'!Q3</f>
        <v>159.69</v>
      </c>
      <c r="Q16" s="24" t="n">
        <f aca="false">'Matérias-Primas'!R3</f>
        <v>79.87</v>
      </c>
    </row>
    <row r="17" customFormat="false" ht="15" hidden="false" customHeight="false" outlineLevel="0" collapsed="false">
      <c r="A17" s="5" t="s">
        <v>125</v>
      </c>
      <c r="B17" s="2"/>
      <c r="C17" s="3" t="s">
        <v>126</v>
      </c>
      <c r="D17" s="25" t="n">
        <f aca="false">H17+I17+J17+K17+L17+M17+N17</f>
        <v>0.316618250773126</v>
      </c>
      <c r="E17" s="25" t="n">
        <f aca="false">E15/E16</f>
        <v>1.10121504660453</v>
      </c>
      <c r="F17" s="25" t="n">
        <f aca="false">F15/F16</f>
        <v>0.102245978815222</v>
      </c>
      <c r="G17" s="25" t="n">
        <f aca="false">G15/G16</f>
        <v>0.039816144785981</v>
      </c>
      <c r="H17" s="25" t="n">
        <f aca="false">H15/H16</f>
        <v>0.0368828654404647</v>
      </c>
      <c r="I17" s="25" t="n">
        <f aca="false">I15/I16</f>
        <v>0.0408704883227176</v>
      </c>
      <c r="J17" s="25" t="n">
        <f aca="false">J15/J16</f>
        <v>0</v>
      </c>
      <c r="K17" s="25" t="n">
        <f aca="false">K15/K16</f>
        <v>0.199286733238231</v>
      </c>
      <c r="L17" s="25" t="n">
        <f aca="false">L15/L16</f>
        <v>0.0395781637717122</v>
      </c>
      <c r="M17" s="25" t="n">
        <f aca="false">M15/M16</f>
        <v>0</v>
      </c>
      <c r="N17" s="25" t="n">
        <f aca="false">N15/N16</f>
        <v>0</v>
      </c>
      <c r="O17" s="25" t="n">
        <f aca="false">O15/O16</f>
        <v>0</v>
      </c>
      <c r="P17" s="25" t="n">
        <f aca="false">P15/P16</f>
        <v>0.000281795979710689</v>
      </c>
      <c r="Q17" s="25" t="n">
        <f aca="false">Q15/Q16</f>
        <v>0</v>
      </c>
    </row>
    <row r="18" customFormat="false" ht="15" hidden="false" customHeight="false" outlineLevel="0" collapsed="false">
      <c r="A18" s="5" t="s">
        <v>127</v>
      </c>
      <c r="B18" s="2"/>
      <c r="C18" s="2"/>
      <c r="D18" s="2"/>
      <c r="E18" s="26" t="n">
        <f aca="false">IF($D$17=0,0,E17/$D$17)</f>
        <v>3.47805296730544</v>
      </c>
      <c r="F18" s="26" t="n">
        <f aca="false">IF($D$17=0,0,F17/$D$17)</f>
        <v>0.322931412088707</v>
      </c>
      <c r="G18" s="26" t="n">
        <f aca="false">IF($D$17=0,0,G17/$D$17)</f>
        <v>0.125754420943067</v>
      </c>
      <c r="H18" s="26" t="n">
        <f aca="false">IF($D$17=0,0,H17/$D$17)</f>
        <v>0.116490017080201</v>
      </c>
      <c r="I18" s="26" t="n">
        <f aca="false">IF($D$17=0,0,I17/$D$17)</f>
        <v>0.129084435982194</v>
      </c>
      <c r="J18" s="26" t="n">
        <f aca="false">IF($D$17=0,0,J17/$D$17)</f>
        <v>0</v>
      </c>
      <c r="K18" s="26" t="n">
        <f aca="false">IF($D$17=0,0,K17/$D$17)</f>
        <v>0.629422759906001</v>
      </c>
      <c r="L18" s="26" t="n">
        <f aca="false">IF($D$17=0,0,L17/$D$17)</f>
        <v>0.125002787031605</v>
      </c>
      <c r="M18" s="26" t="n">
        <f aca="false">IF($D$17=0,0,M17/$D$17)</f>
        <v>0</v>
      </c>
      <c r="N18" s="26" t="n">
        <f aca="false">IF($D$17=0,0,N17/$D$17)</f>
        <v>0</v>
      </c>
      <c r="O18" s="26" t="n">
        <f aca="false">IF($D$17=0,0,O17/$D$17)</f>
        <v>0</v>
      </c>
      <c r="P18" s="26" t="n">
        <f aca="false">IF($D$17=0,0,P17/$D$17)</f>
        <v>0.00089001811810467</v>
      </c>
      <c r="Q18" s="26" t="n">
        <f aca="false">IF($D$17=0,0,Q17/$D$17)</f>
        <v>0</v>
      </c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customFormat="false" ht="15" hidden="false" customHeight="false" outlineLevel="0" collapsed="false">
      <c r="A20" s="4" t="s">
        <v>128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customFormat="false" ht="15" hidden="false" customHeight="false" outlineLevel="0" collapsed="false">
      <c r="A21" s="12" t="s">
        <v>129</v>
      </c>
      <c r="B21" s="12" t="s">
        <v>130</v>
      </c>
      <c r="C21" s="12" t="s">
        <v>131</v>
      </c>
      <c r="D21" s="12" t="s">
        <v>132</v>
      </c>
      <c r="E21" s="12" t="s">
        <v>133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customFormat="false" ht="15" hidden="false" customHeight="false" outlineLevel="0" collapsed="false">
      <c r="A22" s="27" t="s">
        <v>134</v>
      </c>
      <c r="B22" s="28" t="n">
        <f aca="false">E18</f>
        <v>3.47805296730544</v>
      </c>
      <c r="C22" s="29" t="n">
        <v>3</v>
      </c>
      <c r="D22" s="29" t="n">
        <v>4</v>
      </c>
      <c r="E22" s="30" t="str">
        <f aca="false">IF(AND(B22&gt;=C22,B22&lt;=D22),"OK","Ajustar")</f>
        <v>OK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customFormat="false" ht="15" hidden="false" customHeight="false" outlineLevel="0" collapsed="false">
      <c r="A23" s="27" t="s">
        <v>135</v>
      </c>
      <c r="B23" s="28" t="n">
        <f aca="false">F18</f>
        <v>0.322931412088707</v>
      </c>
      <c r="C23" s="29" t="n">
        <v>0.28</v>
      </c>
      <c r="D23" s="29" t="n">
        <v>0.38</v>
      </c>
      <c r="E23" s="30" t="str">
        <f aca="false">IF(AND(B23&gt;=C23,B23&lt;=D23),"OK","Ajustar")</f>
        <v>OK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customFormat="false" ht="15" hidden="false" customHeight="false" outlineLevel="0" collapsed="false">
      <c r="A24" s="27" t="s">
        <v>136</v>
      </c>
      <c r="B24" s="28" t="n">
        <f aca="false">G18</f>
        <v>0.125754420943067</v>
      </c>
      <c r="C24" s="29" t="n">
        <v>0.1</v>
      </c>
      <c r="D24" s="29" t="n">
        <v>0.25</v>
      </c>
      <c r="E24" s="30" t="str">
        <f aca="false">IF(AND(B24&gt;=C24,B24&lt;=D24),"OK","Ajustar")</f>
        <v>OK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customFormat="false" ht="15" hidden="false" customHeight="false" outlineLevel="0" collapsed="false">
      <c r="A25" s="27" t="s">
        <v>137</v>
      </c>
      <c r="B25" s="28" t="n">
        <f aca="false">IF(F18=0,0,E18/F18)</f>
        <v>10.7702528682779</v>
      </c>
      <c r="C25" s="29" t="n">
        <v>8</v>
      </c>
      <c r="D25" s="29" t="n">
        <v>11</v>
      </c>
      <c r="E25" s="30" t="str">
        <f aca="false">IF(AND(B25&gt;=C25,B25&lt;=D25),"OK","Ajustar")</f>
        <v>OK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customFormat="false" ht="15" hidden="false" customHeight="false" outlineLevel="0" collapsed="false">
      <c r="A27" s="5" t="s">
        <v>138</v>
      </c>
      <c r="B27" s="31" t="n">
        <f aca="false">SUMPRODUCT(C5:C14,D5:D14)</f>
        <v>5.315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customFormat="false" ht="15" hidden="false" customHeight="false" outlineLevel="0" collapsed="false">
      <c r="A28" s="3" t="s">
        <v>139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</sheetData>
  <conditionalFormatting sqref="E22:E25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"Ajustar"</formula>
    </cfRule>
  </conditionalFormatting>
  <dataValidations count="1">
    <dataValidation allowBlank="true" errorStyle="stop" operator="between" showDropDown="false" showErrorMessage="false" showInputMessage="false" sqref="A5:A14" type="list">
      <formula1>'Matérias-Primas'!$A$5:$A$45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4" min="4" style="0" width="24"/>
    <col collapsed="false" customWidth="true" hidden="false" outlineLevel="0" max="5" min="5" style="0" width="7"/>
    <col collapsed="false" customWidth="true" hidden="false" outlineLevel="0" max="6" min="6" style="0" width="24"/>
    <col collapsed="false" customWidth="true" hidden="false" outlineLevel="0" max="7" min="7" style="0" width="7"/>
    <col collapsed="false" customWidth="true" hidden="false" outlineLevel="0" max="8" min="8" style="0" width="22"/>
    <col collapsed="false" customWidth="true" hidden="false" outlineLevel="0" max="9" min="9" style="0" width="7"/>
    <col collapsed="false" customWidth="true" hidden="false" outlineLevel="0" max="10" min="10" style="0" width="14"/>
    <col collapsed="false" customWidth="true" hidden="false" outlineLevel="0" max="11" min="11" style="0" width="19"/>
    <col collapsed="false" customWidth="true" hidden="false" outlineLevel="0" max="12" min="12" style="0" width="12"/>
    <col collapsed="false" customWidth="true" hidden="false" outlineLevel="0" max="13" min="13" style="0" width="15"/>
    <col collapsed="false" customWidth="true" hidden="false" outlineLevel="0" max="14" min="14" style="0" width="14"/>
    <col collapsed="false" customWidth="true" hidden="false" outlineLevel="0" max="15" min="15" style="0" width="46"/>
  </cols>
  <sheetData>
    <row r="1" customFormat="false" ht="17.35" hidden="false" customHeight="false" outlineLevel="0" collapsed="false">
      <c r="A1" s="1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149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42" hidden="false" customHeight="true" outlineLevel="0" collapsed="false">
      <c r="A4" s="12" t="s">
        <v>150</v>
      </c>
      <c r="B4" s="12" t="s">
        <v>151</v>
      </c>
      <c r="C4" s="12" t="s">
        <v>60</v>
      </c>
      <c r="D4" s="12" t="s">
        <v>152</v>
      </c>
      <c r="E4" s="12" t="s">
        <v>153</v>
      </c>
      <c r="F4" s="12" t="s">
        <v>154</v>
      </c>
      <c r="G4" s="12" t="s">
        <v>155</v>
      </c>
      <c r="H4" s="12" t="s">
        <v>156</v>
      </c>
      <c r="I4" s="12" t="s">
        <v>157</v>
      </c>
      <c r="J4" s="12" t="s">
        <v>158</v>
      </c>
      <c r="K4" s="12" t="s">
        <v>159</v>
      </c>
      <c r="L4" s="12" t="s">
        <v>160</v>
      </c>
      <c r="M4" s="12" t="s">
        <v>161</v>
      </c>
      <c r="N4" s="12" t="s">
        <v>162</v>
      </c>
      <c r="O4" s="12" t="s">
        <v>163</v>
      </c>
    </row>
    <row r="5" customFormat="false" ht="15" hidden="false" customHeight="false" outlineLevel="0" collapsed="false">
      <c r="A5" s="32" t="n">
        <v>1</v>
      </c>
      <c r="B5" s="33" t="s">
        <v>164</v>
      </c>
      <c r="C5" s="32" t="s">
        <v>165</v>
      </c>
      <c r="D5" s="32"/>
      <c r="E5" s="34"/>
      <c r="F5" s="32"/>
      <c r="G5" s="34"/>
      <c r="H5" s="32"/>
      <c r="I5" s="34"/>
      <c r="J5" s="32" t="s">
        <v>166</v>
      </c>
      <c r="K5" s="32" t="s">
        <v>167</v>
      </c>
      <c r="L5" s="35" t="n">
        <f aca="false">IFERROR(CHOOSE(MATCH(C5,{"A","B","C","D","E"},0),'Base A'!$B$27,'Base B'!$B$27,'Base C'!$B$27,'Base D'!$B$27,'Base E'!$B$27),0)</f>
        <v>6.2</v>
      </c>
      <c r="M5" s="36" t="n">
        <f aca="false">IF(D5="",0,N(E5)/100*IFERROR(INDEX('Matérias-Primas'!$D$5:$D$45,MATCH(D5,'Matérias-Primas'!$A$5:$A$45,0)),0))+IF(F5="",0,N(G5)/100*IFERROR(INDEX('Matérias-Primas'!$D$5:$D$45,MATCH(F5,'Matérias-Primas'!$A$5:$A$45,0)),0))+IF(H5="",0,N(I5)/100*IFERROR(INDEX('Matérias-Primas'!$D$5:$D$45,MATCH(H5,'Matérias-Primas'!$A$5:$A$45,0)),0))</f>
        <v>0</v>
      </c>
      <c r="N5" s="37" t="n">
        <f aca="false">(L5+M5)/(1+(N(E5)+N(G5)+N(I5))/100)</f>
        <v>6.2</v>
      </c>
      <c r="O5" s="33" t="s">
        <v>168</v>
      </c>
    </row>
    <row r="6" customFormat="false" ht="15" hidden="false" customHeight="false" outlineLevel="0" collapsed="false">
      <c r="A6" s="32" t="n">
        <v>2</v>
      </c>
      <c r="B6" s="33" t="s">
        <v>169</v>
      </c>
      <c r="C6" s="32" t="s">
        <v>170</v>
      </c>
      <c r="D6" s="32"/>
      <c r="E6" s="34"/>
      <c r="F6" s="32"/>
      <c r="G6" s="34"/>
      <c r="H6" s="32"/>
      <c r="I6" s="34"/>
      <c r="J6" s="32" t="s">
        <v>171</v>
      </c>
      <c r="K6" s="32" t="s">
        <v>167</v>
      </c>
      <c r="L6" s="35" t="n">
        <f aca="false">IFERROR(CHOOSE(MATCH(C6,{"A","B","C","D","E"},0),'Base A'!$B$27,'Base B'!$B$27,'Base C'!$B$27,'Base D'!$B$27,'Base E'!$B$27),0)</f>
        <v>5.455</v>
      </c>
      <c r="M6" s="36" t="n">
        <f aca="false">IF(D6="",0,N(E6)/100*IFERROR(INDEX('Matérias-Primas'!$D$5:$D$45,MATCH(D6,'Matérias-Primas'!$A$5:$A$45,0)),0))+IF(F6="",0,N(G6)/100*IFERROR(INDEX('Matérias-Primas'!$D$5:$D$45,MATCH(F6,'Matérias-Primas'!$A$5:$A$45,0)),0))+IF(H6="",0,N(I6)/100*IFERROR(INDEX('Matérias-Primas'!$D$5:$D$45,MATCH(H6,'Matérias-Primas'!$A$5:$A$45,0)),0))</f>
        <v>0</v>
      </c>
      <c r="N6" s="37" t="n">
        <f aca="false">(L6+M6)/(1+(N(E6)+N(G6)+N(I6))/100)</f>
        <v>5.455</v>
      </c>
      <c r="O6" s="33" t="s">
        <v>172</v>
      </c>
    </row>
    <row r="7" customFormat="false" ht="15" hidden="false" customHeight="false" outlineLevel="0" collapsed="false">
      <c r="A7" s="32" t="n">
        <v>3</v>
      </c>
      <c r="B7" s="33" t="s">
        <v>173</v>
      </c>
      <c r="C7" s="32" t="s">
        <v>174</v>
      </c>
      <c r="D7" s="32" t="s">
        <v>75</v>
      </c>
      <c r="E7" s="34" t="n">
        <v>10</v>
      </c>
      <c r="F7" s="32"/>
      <c r="G7" s="34"/>
      <c r="H7" s="32"/>
      <c r="I7" s="34"/>
      <c r="J7" s="32" t="s">
        <v>166</v>
      </c>
      <c r="K7" s="32" t="s">
        <v>167</v>
      </c>
      <c r="L7" s="35" t="n">
        <f aca="false">IFERROR(CHOOSE(MATCH(C7,{"A","B","C","D","E"},0),'Base A'!$B$27,'Base B'!$B$27,'Base C'!$B$27,'Base D'!$B$27,'Base E'!$B$27),0)</f>
        <v>8.69</v>
      </c>
      <c r="M7" s="36" t="n">
        <f aca="false">IF(D7="",0,N(E7)/100*IFERROR(INDEX('Matérias-Primas'!$D$5:$D$45,MATCH(D7,'Matérias-Primas'!$A$5:$A$45,0)),0))+IF(F7="",0,N(G7)/100*IFERROR(INDEX('Matérias-Primas'!$D$5:$D$45,MATCH(F7,'Matérias-Primas'!$A$5:$A$45,0)),0))+IF(H7="",0,N(I7)/100*IFERROR(INDEX('Matérias-Primas'!$D$5:$D$45,MATCH(H7,'Matérias-Primas'!$A$5:$A$45,0)),0))</f>
        <v>2.5</v>
      </c>
      <c r="N7" s="37" t="n">
        <f aca="false">(L7+M7)/(1+(N(E7)+N(G7)+N(I7))/100)</f>
        <v>10.1727272727273</v>
      </c>
      <c r="O7" s="33"/>
    </row>
    <row r="8" customFormat="false" ht="15" hidden="false" customHeight="false" outlineLevel="0" collapsed="false">
      <c r="A8" s="32" t="n">
        <v>4</v>
      </c>
      <c r="B8" s="33" t="s">
        <v>175</v>
      </c>
      <c r="C8" s="32" t="s">
        <v>170</v>
      </c>
      <c r="D8" s="32" t="s">
        <v>75</v>
      </c>
      <c r="E8" s="34" t="n">
        <v>8</v>
      </c>
      <c r="F8" s="32"/>
      <c r="G8" s="34"/>
      <c r="H8" s="32"/>
      <c r="I8" s="34"/>
      <c r="J8" s="32" t="s">
        <v>171</v>
      </c>
      <c r="K8" s="32" t="s">
        <v>167</v>
      </c>
      <c r="L8" s="35" t="n">
        <f aca="false">IFERROR(CHOOSE(MATCH(C8,{"A","B","C","D","E"},0),'Base A'!$B$27,'Base B'!$B$27,'Base C'!$B$27,'Base D'!$B$27,'Base E'!$B$27),0)</f>
        <v>5.455</v>
      </c>
      <c r="M8" s="36" t="n">
        <f aca="false">IF(D8="",0,N(E8)/100*IFERROR(INDEX('Matérias-Primas'!$D$5:$D$45,MATCH(D8,'Matérias-Primas'!$A$5:$A$45,0)),0))+IF(F8="",0,N(G8)/100*IFERROR(INDEX('Matérias-Primas'!$D$5:$D$45,MATCH(F8,'Matérias-Primas'!$A$5:$A$45,0)),0))+IF(H8="",0,N(I8)/100*IFERROR(INDEX('Matérias-Primas'!$D$5:$D$45,MATCH(H8,'Matérias-Primas'!$A$5:$A$45,0)),0))</f>
        <v>2</v>
      </c>
      <c r="N8" s="37" t="n">
        <f aca="false">(L8+M8)/(1+(N(E8)+N(G8)+N(I8))/100)</f>
        <v>6.90277777777778</v>
      </c>
      <c r="O8" s="33"/>
    </row>
    <row r="9" customFormat="false" ht="15" hidden="false" customHeight="false" outlineLevel="0" collapsed="false">
      <c r="A9" s="32" t="n">
        <v>5</v>
      </c>
      <c r="B9" s="33" t="s">
        <v>176</v>
      </c>
      <c r="C9" s="32" t="s">
        <v>165</v>
      </c>
      <c r="D9" s="32" t="s">
        <v>87</v>
      </c>
      <c r="E9" s="34" t="n">
        <v>7</v>
      </c>
      <c r="F9" s="32"/>
      <c r="G9" s="34"/>
      <c r="H9" s="32"/>
      <c r="I9" s="34"/>
      <c r="J9" s="32" t="s">
        <v>166</v>
      </c>
      <c r="K9" s="32" t="s">
        <v>167</v>
      </c>
      <c r="L9" s="35" t="n">
        <f aca="false">IFERROR(CHOOSE(MATCH(C9,{"A","B","C","D","E"},0),'Base A'!$B$27,'Base B'!$B$27,'Base C'!$B$27,'Base D'!$B$27,'Base E'!$B$27),0)</f>
        <v>6.2</v>
      </c>
      <c r="M9" s="36" t="n">
        <f aca="false">IF(D9="",0,N(E9)/100*IFERROR(INDEX('Matérias-Primas'!$D$5:$D$45,MATCH(D9,'Matérias-Primas'!$A$5:$A$45,0)),0))+IF(F9="",0,N(G9)/100*IFERROR(INDEX('Matérias-Primas'!$D$5:$D$45,MATCH(F9,'Matérias-Primas'!$A$5:$A$45,0)),0))+IF(H9="",0,N(I9)/100*IFERROR(INDEX('Matérias-Primas'!$D$5:$D$45,MATCH(H9,'Matérias-Primas'!$A$5:$A$45,0)),0))</f>
        <v>17.5</v>
      </c>
      <c r="N9" s="37" t="n">
        <f aca="false">(L9+M9)/(1+(N(E9)+N(G9)+N(I9))/100)</f>
        <v>22.1495327102804</v>
      </c>
      <c r="O9" s="33" t="s">
        <v>177</v>
      </c>
    </row>
    <row r="10" customFormat="false" ht="15" hidden="false" customHeight="false" outlineLevel="0" collapsed="false">
      <c r="A10" s="32" t="n">
        <v>6</v>
      </c>
      <c r="B10" s="33" t="s">
        <v>178</v>
      </c>
      <c r="C10" s="32" t="s">
        <v>179</v>
      </c>
      <c r="D10" s="32" t="s">
        <v>78</v>
      </c>
      <c r="E10" s="34" t="n">
        <v>10</v>
      </c>
      <c r="F10" s="32"/>
      <c r="G10" s="34"/>
      <c r="H10" s="32"/>
      <c r="I10" s="34"/>
      <c r="J10" s="32" t="s">
        <v>171</v>
      </c>
      <c r="K10" s="32" t="s">
        <v>167</v>
      </c>
      <c r="L10" s="35" t="n">
        <f aca="false">IFERROR(CHOOSE(MATCH(C10,{"A","B","C","D","E"},0),'Base A'!$B$27,'Base B'!$B$27,'Base C'!$B$27,'Base D'!$B$27,'Base E'!$B$27),0)</f>
        <v>5.315</v>
      </c>
      <c r="M10" s="36" t="n">
        <f aca="false">IF(D10="",0,N(E10)/100*IFERROR(INDEX('Matérias-Primas'!$D$5:$D$45,MATCH(D10,'Matérias-Primas'!$A$5:$A$45,0)),0))+IF(F10="",0,N(G10)/100*IFERROR(INDEX('Matérias-Primas'!$D$5:$D$45,MATCH(F10,'Matérias-Primas'!$A$5:$A$45,0)),0))+IF(H10="",0,N(I10)/100*IFERROR(INDEX('Matérias-Primas'!$D$5:$D$45,MATCH(H10,'Matérias-Primas'!$A$5:$A$45,0)),0))</f>
        <v>2</v>
      </c>
      <c r="N10" s="37" t="n">
        <f aca="false">(L10+M10)/(1+(N(E10)+N(G10)+N(I10))/100)</f>
        <v>6.65</v>
      </c>
      <c r="O10" s="33" t="s">
        <v>180</v>
      </c>
    </row>
    <row r="11" customFormat="false" ht="15" hidden="false" customHeight="false" outlineLevel="0" collapsed="false">
      <c r="A11" s="32" t="n">
        <v>7</v>
      </c>
      <c r="B11" s="33" t="s">
        <v>181</v>
      </c>
      <c r="C11" s="32" t="s">
        <v>165</v>
      </c>
      <c r="D11" s="32" t="s">
        <v>78</v>
      </c>
      <c r="E11" s="34" t="n">
        <v>1.5</v>
      </c>
      <c r="F11" s="32"/>
      <c r="G11" s="34"/>
      <c r="H11" s="32"/>
      <c r="I11" s="34"/>
      <c r="J11" s="32" t="s">
        <v>166</v>
      </c>
      <c r="K11" s="32" t="s">
        <v>167</v>
      </c>
      <c r="L11" s="35" t="n">
        <f aca="false">IFERROR(CHOOSE(MATCH(C11,{"A","B","C","D","E"},0),'Base A'!$B$27,'Base B'!$B$27,'Base C'!$B$27,'Base D'!$B$27,'Base E'!$B$27),0)</f>
        <v>6.2</v>
      </c>
      <c r="M11" s="36" t="n">
        <f aca="false">IF(D11="",0,N(E11)/100*IFERROR(INDEX('Matérias-Primas'!$D$5:$D$45,MATCH(D11,'Matérias-Primas'!$A$5:$A$45,0)),0))+IF(F11="",0,N(G11)/100*IFERROR(INDEX('Matérias-Primas'!$D$5:$D$45,MATCH(F11,'Matérias-Primas'!$A$5:$A$45,0)),0))+IF(H11="",0,N(I11)/100*IFERROR(INDEX('Matérias-Primas'!$D$5:$D$45,MATCH(H11,'Matérias-Primas'!$A$5:$A$45,0)),0))</f>
        <v>0.3</v>
      </c>
      <c r="N11" s="37" t="n">
        <f aca="false">(L11+M11)/(1+(N(E11)+N(G11)+N(I11))/100)</f>
        <v>6.40394088669951</v>
      </c>
      <c r="O11" s="33" t="s">
        <v>182</v>
      </c>
    </row>
    <row r="12" customFormat="false" ht="15" hidden="false" customHeight="false" outlineLevel="0" collapsed="false">
      <c r="A12" s="32" t="n">
        <v>8</v>
      </c>
      <c r="B12" s="33" t="s">
        <v>183</v>
      </c>
      <c r="C12" s="32" t="s">
        <v>165</v>
      </c>
      <c r="D12" s="32" t="s">
        <v>78</v>
      </c>
      <c r="E12" s="34" t="n">
        <v>1</v>
      </c>
      <c r="F12" s="32" t="s">
        <v>79</v>
      </c>
      <c r="G12" s="34" t="n">
        <v>0.1</v>
      </c>
      <c r="H12" s="32"/>
      <c r="I12" s="34"/>
      <c r="J12" s="32" t="s">
        <v>166</v>
      </c>
      <c r="K12" s="32" t="s">
        <v>167</v>
      </c>
      <c r="L12" s="35" t="n">
        <f aca="false">IFERROR(CHOOSE(MATCH(C12,{"A","B","C","D","E"},0),'Base A'!$B$27,'Base B'!$B$27,'Base C'!$B$27,'Base D'!$B$27,'Base E'!$B$27),0)</f>
        <v>6.2</v>
      </c>
      <c r="M12" s="36" t="n">
        <f aca="false">IF(D12="",0,N(E12)/100*IFERROR(INDEX('Matérias-Primas'!$D$5:$D$45,MATCH(D12,'Matérias-Primas'!$A$5:$A$45,0)),0))+IF(F12="",0,N(G12)/100*IFERROR(INDEX('Matérias-Primas'!$D$5:$D$45,MATCH(F12,'Matérias-Primas'!$A$5:$A$45,0)),0))+IF(H12="",0,N(I12)/100*IFERROR(INDEX('Matérias-Primas'!$D$5:$D$45,MATCH(H12,'Matérias-Primas'!$A$5:$A$45,0)),0))</f>
        <v>1.1</v>
      </c>
      <c r="N12" s="37" t="n">
        <f aca="false">(L12+M12)/(1+(N(E12)+N(G12)+N(I12))/100)</f>
        <v>7.22057368941642</v>
      </c>
      <c r="O12" s="33"/>
    </row>
    <row r="13" customFormat="false" ht="15" hidden="false" customHeight="false" outlineLevel="0" collapsed="false">
      <c r="A13" s="32" t="n">
        <v>9</v>
      </c>
      <c r="B13" s="33" t="s">
        <v>184</v>
      </c>
      <c r="C13" s="32" t="s">
        <v>185</v>
      </c>
      <c r="D13" s="32" t="s">
        <v>83</v>
      </c>
      <c r="E13" s="34" t="n">
        <v>6</v>
      </c>
      <c r="F13" s="32" t="s">
        <v>78</v>
      </c>
      <c r="G13" s="34" t="n">
        <v>2</v>
      </c>
      <c r="H13" s="32"/>
      <c r="I13" s="34"/>
      <c r="J13" s="32" t="s">
        <v>186</v>
      </c>
      <c r="K13" s="32" t="s">
        <v>167</v>
      </c>
      <c r="L13" s="35" t="n">
        <f aca="false">IFERROR(CHOOSE(MATCH(C13,{"A","B","C","D","E"},0),'Base A'!$B$27,'Base B'!$B$27,'Base C'!$B$27,'Base D'!$B$27,'Base E'!$B$27),0)</f>
        <v>9.335</v>
      </c>
      <c r="M13" s="36" t="n">
        <f aca="false">IF(D13="",0,N(E13)/100*IFERROR(INDEX('Matérias-Primas'!$D$5:$D$45,MATCH(D13,'Matérias-Primas'!$A$5:$A$45,0)),0))+IF(F13="",0,N(G13)/100*IFERROR(INDEX('Matérias-Primas'!$D$5:$D$45,MATCH(F13,'Matérias-Primas'!$A$5:$A$45,0)),0))+IF(H13="",0,N(I13)/100*IFERROR(INDEX('Matérias-Primas'!$D$5:$D$45,MATCH(H13,'Matérias-Primas'!$A$5:$A$45,0)),0))</f>
        <v>5.2</v>
      </c>
      <c r="N13" s="37" t="n">
        <f aca="false">(L13+M13)/(1+(N(E13)+N(G13)+N(I13))/100)</f>
        <v>13.4583333333333</v>
      </c>
      <c r="O13" s="33" t="s">
        <v>187</v>
      </c>
    </row>
    <row r="14" customFormat="false" ht="15" hidden="false" customHeight="false" outlineLevel="0" collapsed="false">
      <c r="A14" s="32" t="n">
        <v>10</v>
      </c>
      <c r="B14" s="33" t="s">
        <v>188</v>
      </c>
      <c r="C14" s="32" t="s">
        <v>185</v>
      </c>
      <c r="D14" s="32" t="s">
        <v>75</v>
      </c>
      <c r="E14" s="34" t="n">
        <v>4</v>
      </c>
      <c r="F14" s="32" t="s">
        <v>83</v>
      </c>
      <c r="G14" s="34" t="n">
        <v>2</v>
      </c>
      <c r="H14" s="32" t="s">
        <v>85</v>
      </c>
      <c r="I14" s="34" t="n">
        <v>0.75</v>
      </c>
      <c r="J14" s="32" t="s">
        <v>186</v>
      </c>
      <c r="K14" s="32" t="s">
        <v>167</v>
      </c>
      <c r="L14" s="35" t="n">
        <f aca="false">IFERROR(CHOOSE(MATCH(C14,{"A","B","C","D","E"},0),'Base A'!$B$27,'Base B'!$B$27,'Base C'!$B$27,'Base D'!$B$27,'Base E'!$B$27),0)</f>
        <v>9.335</v>
      </c>
      <c r="M14" s="36" t="n">
        <f aca="false">IF(D14="",0,N(E14)/100*IFERROR(INDEX('Matérias-Primas'!$D$5:$D$45,MATCH(D14,'Matérias-Primas'!$A$5:$A$45,0)),0))+IF(F14="",0,N(G14)/100*IFERROR(INDEX('Matérias-Primas'!$D$5:$D$45,MATCH(F14,'Matérias-Primas'!$A$5:$A$45,0)),0))+IF(H14="",0,N(I14)/100*IFERROR(INDEX('Matérias-Primas'!$D$5:$D$45,MATCH(H14,'Matérias-Primas'!$A$5:$A$45,0)),0))</f>
        <v>3.05</v>
      </c>
      <c r="N14" s="37" t="n">
        <f aca="false">(L14+M14)/(1+(N(E14)+N(G14)+N(I14))/100)</f>
        <v>11.6018735362998</v>
      </c>
      <c r="O14" s="33" t="s">
        <v>189</v>
      </c>
    </row>
    <row r="15" customFormat="false" ht="15" hidden="false" customHeight="false" outlineLevel="0" collapsed="false">
      <c r="A15" s="32" t="n">
        <v>11</v>
      </c>
      <c r="B15" s="33" t="s">
        <v>190</v>
      </c>
      <c r="C15" s="32" t="s">
        <v>165</v>
      </c>
      <c r="D15" s="32" t="s">
        <v>79</v>
      </c>
      <c r="E15" s="34" t="n">
        <v>1</v>
      </c>
      <c r="F15" s="32"/>
      <c r="G15" s="34"/>
      <c r="H15" s="32"/>
      <c r="I15" s="34"/>
      <c r="J15" s="32" t="s">
        <v>166</v>
      </c>
      <c r="K15" s="32" t="s">
        <v>167</v>
      </c>
      <c r="L15" s="35" t="n">
        <f aca="false">IFERROR(CHOOSE(MATCH(C15,{"A","B","C","D","E"},0),'Base A'!$B$27,'Base B'!$B$27,'Base C'!$B$27,'Base D'!$B$27,'Base E'!$B$27),0)</f>
        <v>6.2</v>
      </c>
      <c r="M15" s="36" t="n">
        <f aca="false">IF(D15="",0,N(E15)/100*IFERROR(INDEX('Matérias-Primas'!$D$5:$D$45,MATCH(D15,'Matérias-Primas'!$A$5:$A$45,0)),0))+IF(F15="",0,N(G15)/100*IFERROR(INDEX('Matérias-Primas'!$D$5:$D$45,MATCH(F15,'Matérias-Primas'!$A$5:$A$45,0)),0))+IF(H15="",0,N(I15)/100*IFERROR(INDEX('Matérias-Primas'!$D$5:$D$45,MATCH(H15,'Matérias-Primas'!$A$5:$A$45,0)),0))</f>
        <v>9</v>
      </c>
      <c r="N15" s="37" t="n">
        <f aca="false">(L15+M15)/(1+(N(E15)+N(G15)+N(I15))/100)</f>
        <v>15.049504950495</v>
      </c>
      <c r="O15" s="33"/>
    </row>
    <row r="16" customFormat="false" ht="23.85" hidden="false" customHeight="false" outlineLevel="0" collapsed="false">
      <c r="A16" s="32" t="n">
        <v>12</v>
      </c>
      <c r="B16" s="33" t="s">
        <v>191</v>
      </c>
      <c r="C16" s="32" t="s">
        <v>174</v>
      </c>
      <c r="D16" s="32" t="s">
        <v>81</v>
      </c>
      <c r="E16" s="34" t="n">
        <v>2.5</v>
      </c>
      <c r="F16" s="32"/>
      <c r="G16" s="34"/>
      <c r="H16" s="32"/>
      <c r="I16" s="34"/>
      <c r="J16" s="32" t="s">
        <v>166</v>
      </c>
      <c r="K16" s="32" t="s">
        <v>167</v>
      </c>
      <c r="L16" s="35" t="n">
        <f aca="false">IFERROR(CHOOSE(MATCH(C16,{"A","B","C","D","E"},0),'Base A'!$B$27,'Base B'!$B$27,'Base C'!$B$27,'Base D'!$B$27,'Base E'!$B$27),0)</f>
        <v>8.69</v>
      </c>
      <c r="M16" s="36" t="n">
        <f aca="false">IF(D16="",0,N(E16)/100*IFERROR(INDEX('Matérias-Primas'!$D$5:$D$45,MATCH(D16,'Matérias-Primas'!$A$5:$A$45,0)),0))+IF(F16="",0,N(G16)/100*IFERROR(INDEX('Matérias-Primas'!$D$5:$D$45,MATCH(F16,'Matérias-Primas'!$A$5:$A$45,0)),0))+IF(H16="",0,N(I16)/100*IFERROR(INDEX('Matérias-Primas'!$D$5:$D$45,MATCH(H16,'Matérias-Primas'!$A$5:$A$45,0)),0))</f>
        <v>3.75</v>
      </c>
      <c r="N16" s="37" t="n">
        <f aca="false">(L16+M16)/(1+(N(E16)+N(G16)+N(I16))/100)</f>
        <v>12.1365853658537</v>
      </c>
      <c r="O16" s="33" t="s">
        <v>192</v>
      </c>
    </row>
    <row r="17" customFormat="false" ht="15" hidden="false" customHeight="false" outlineLevel="0" collapsed="false">
      <c r="A17" s="32" t="n">
        <v>13</v>
      </c>
      <c r="B17" s="33" t="s">
        <v>193</v>
      </c>
      <c r="C17" s="32" t="s">
        <v>165</v>
      </c>
      <c r="D17" s="32" t="s">
        <v>89</v>
      </c>
      <c r="E17" s="34" t="n">
        <v>8</v>
      </c>
      <c r="F17" s="32"/>
      <c r="G17" s="34"/>
      <c r="H17" s="32"/>
      <c r="I17" s="34"/>
      <c r="J17" s="32" t="s">
        <v>166</v>
      </c>
      <c r="K17" s="32" t="s">
        <v>167</v>
      </c>
      <c r="L17" s="35" t="n">
        <f aca="false">IFERROR(CHOOSE(MATCH(C17,{"A","B","C","D","E"},0),'Base A'!$B$27,'Base B'!$B$27,'Base C'!$B$27,'Base D'!$B$27,'Base E'!$B$27),0)</f>
        <v>6.2</v>
      </c>
      <c r="M17" s="36" t="n">
        <f aca="false">IF(D17="",0,N(E17)/100*IFERROR(INDEX('Matérias-Primas'!$D$5:$D$45,MATCH(D17,'Matérias-Primas'!$A$5:$A$45,0)),0))+IF(F17="",0,N(G17)/100*IFERROR(INDEX('Matérias-Primas'!$D$5:$D$45,MATCH(F17,'Matérias-Primas'!$A$5:$A$45,0)),0))+IF(H17="",0,N(I17)/100*IFERROR(INDEX('Matérias-Primas'!$D$5:$D$45,MATCH(H17,'Matérias-Primas'!$A$5:$A$45,0)),0))</f>
        <v>20</v>
      </c>
      <c r="N17" s="37" t="n">
        <f aca="false">(L17+M17)/(1+(N(E17)+N(G17)+N(I17))/100)</f>
        <v>24.2592592592593</v>
      </c>
      <c r="O17" s="33"/>
    </row>
    <row r="18" customFormat="false" ht="15" hidden="false" customHeight="false" outlineLevel="0" collapsed="false">
      <c r="A18" s="32" t="n">
        <v>14</v>
      </c>
      <c r="B18" s="33" t="s">
        <v>194</v>
      </c>
      <c r="C18" s="32" t="s">
        <v>170</v>
      </c>
      <c r="D18" s="32" t="s">
        <v>91</v>
      </c>
      <c r="E18" s="34" t="n">
        <v>6</v>
      </c>
      <c r="F18" s="32"/>
      <c r="G18" s="34"/>
      <c r="H18" s="32"/>
      <c r="I18" s="34"/>
      <c r="J18" s="32" t="s">
        <v>171</v>
      </c>
      <c r="K18" s="32" t="s">
        <v>167</v>
      </c>
      <c r="L18" s="35" t="n">
        <f aca="false">IFERROR(CHOOSE(MATCH(C18,{"A","B","C","D","E"},0),'Base A'!$B$27,'Base B'!$B$27,'Base C'!$B$27,'Base D'!$B$27,'Base E'!$B$27),0)</f>
        <v>5.455</v>
      </c>
      <c r="M18" s="36" t="n">
        <f aca="false">IF(D18="",0,N(E18)/100*IFERROR(INDEX('Matérias-Primas'!$D$5:$D$45,MATCH(D18,'Matérias-Primas'!$A$5:$A$45,0)),0))+IF(F18="",0,N(G18)/100*IFERROR(INDEX('Matérias-Primas'!$D$5:$D$45,MATCH(F18,'Matérias-Primas'!$A$5:$A$45,0)),0))+IF(H18="",0,N(I18)/100*IFERROR(INDEX('Matérias-Primas'!$D$5:$D$45,MATCH(H18,'Matérias-Primas'!$A$5:$A$45,0)),0))</f>
        <v>21</v>
      </c>
      <c r="N18" s="37" t="n">
        <f aca="false">(L18+M18)/(1+(N(E18)+N(G18)+N(I18))/100)</f>
        <v>24.9575471698113</v>
      </c>
      <c r="O18" s="33" t="s">
        <v>195</v>
      </c>
    </row>
    <row r="19" customFormat="false" ht="15" hidden="false" customHeight="false" outlineLevel="0" collapsed="false">
      <c r="A19" s="32" t="n">
        <v>15</v>
      </c>
      <c r="B19" s="33" t="s">
        <v>196</v>
      </c>
      <c r="C19" s="32" t="s">
        <v>179</v>
      </c>
      <c r="D19" s="32" t="s">
        <v>78</v>
      </c>
      <c r="E19" s="34" t="n">
        <v>7</v>
      </c>
      <c r="F19" s="32"/>
      <c r="G19" s="34"/>
      <c r="H19" s="32"/>
      <c r="I19" s="34"/>
      <c r="J19" s="32" t="s">
        <v>186</v>
      </c>
      <c r="K19" s="32" t="s">
        <v>167</v>
      </c>
      <c r="L19" s="35" t="n">
        <f aca="false">IFERROR(CHOOSE(MATCH(C19,{"A","B","C","D","E"},0),'Base A'!$B$27,'Base B'!$B$27,'Base C'!$B$27,'Base D'!$B$27,'Base E'!$B$27),0)</f>
        <v>5.315</v>
      </c>
      <c r="M19" s="36" t="n">
        <f aca="false">IF(D19="",0,N(E19)/100*IFERROR(INDEX('Matérias-Primas'!$D$5:$D$45,MATCH(D19,'Matérias-Primas'!$A$5:$A$45,0)),0))+IF(F19="",0,N(G19)/100*IFERROR(INDEX('Matérias-Primas'!$D$5:$D$45,MATCH(F19,'Matérias-Primas'!$A$5:$A$45,0)),0))+IF(H19="",0,N(I19)/100*IFERROR(INDEX('Matérias-Primas'!$D$5:$D$45,MATCH(H19,'Matérias-Primas'!$A$5:$A$45,0)),0))</f>
        <v>1.4</v>
      </c>
      <c r="N19" s="37" t="n">
        <f aca="false">(L19+M19)/(1+(N(E19)+N(G19)+N(I19))/100)</f>
        <v>6.27570093457944</v>
      </c>
      <c r="O19" s="33" t="s">
        <v>197</v>
      </c>
    </row>
    <row r="20" customFormat="false" ht="15" hidden="false" customHeight="false" outlineLevel="0" collapsed="false">
      <c r="A20" s="32" t="n">
        <v>16</v>
      </c>
      <c r="B20" s="33" t="s">
        <v>198</v>
      </c>
      <c r="C20" s="32" t="s">
        <v>185</v>
      </c>
      <c r="D20" s="32" t="s">
        <v>83</v>
      </c>
      <c r="E20" s="34" t="n">
        <v>4</v>
      </c>
      <c r="F20" s="32" t="s">
        <v>78</v>
      </c>
      <c r="G20" s="34" t="n">
        <v>2</v>
      </c>
      <c r="H20" s="32" t="s">
        <v>79</v>
      </c>
      <c r="I20" s="34" t="n">
        <v>1</v>
      </c>
      <c r="J20" s="32" t="s">
        <v>186</v>
      </c>
      <c r="K20" s="32" t="s">
        <v>167</v>
      </c>
      <c r="L20" s="35" t="n">
        <f aca="false">IFERROR(CHOOSE(MATCH(C20,{"A","B","C","D","E"},0),'Base A'!$B$27,'Base B'!$B$27,'Base C'!$B$27,'Base D'!$B$27,'Base E'!$B$27),0)</f>
        <v>9.335</v>
      </c>
      <c r="M20" s="36" t="n">
        <f aca="false">IF(D20="",0,N(E20)/100*IFERROR(INDEX('Matérias-Primas'!$D$5:$D$45,MATCH(D20,'Matérias-Primas'!$A$5:$A$45,0)),0))+IF(F20="",0,N(G20)/100*IFERROR(INDEX('Matérias-Primas'!$D$5:$D$45,MATCH(F20,'Matérias-Primas'!$A$5:$A$45,0)),0))+IF(H20="",0,N(I20)/100*IFERROR(INDEX('Matérias-Primas'!$D$5:$D$45,MATCH(H20,'Matérias-Primas'!$A$5:$A$45,0)),0))</f>
        <v>12.6</v>
      </c>
      <c r="N20" s="37" t="n">
        <f aca="false">(L20+M20)/(1+(N(E20)+N(G20)+N(I20))/100)</f>
        <v>20.5</v>
      </c>
      <c r="O20" s="33" t="s">
        <v>199</v>
      </c>
    </row>
    <row r="21" customFormat="false" ht="15" hidden="false" customHeight="false" outlineLevel="0" collapsed="false">
      <c r="A21" s="32" t="n">
        <v>17</v>
      </c>
      <c r="B21" s="33" t="s">
        <v>200</v>
      </c>
      <c r="C21" s="32" t="s">
        <v>185</v>
      </c>
      <c r="D21" s="32" t="s">
        <v>83</v>
      </c>
      <c r="E21" s="34" t="n">
        <v>3</v>
      </c>
      <c r="F21" s="32" t="s">
        <v>78</v>
      </c>
      <c r="G21" s="34" t="n">
        <v>1.5</v>
      </c>
      <c r="H21" s="32" t="s">
        <v>75</v>
      </c>
      <c r="I21" s="34" t="n">
        <v>2</v>
      </c>
      <c r="J21" s="32" t="s">
        <v>186</v>
      </c>
      <c r="K21" s="32" t="s">
        <v>167</v>
      </c>
      <c r="L21" s="35" t="n">
        <f aca="false">IFERROR(CHOOSE(MATCH(C21,{"A","B","C","D","E"},0),'Base A'!$B$27,'Base B'!$B$27,'Base C'!$B$27,'Base D'!$B$27,'Base E'!$B$27),0)</f>
        <v>9.335</v>
      </c>
      <c r="M21" s="36" t="n">
        <f aca="false">IF(D21="",0,N(E21)/100*IFERROR(INDEX('Matérias-Primas'!$D$5:$D$45,MATCH(D21,'Matérias-Primas'!$A$5:$A$45,0)),0))+IF(F21="",0,N(G21)/100*IFERROR(INDEX('Matérias-Primas'!$D$5:$D$45,MATCH(F21,'Matérias-Primas'!$A$5:$A$45,0)),0))+IF(H21="",0,N(I21)/100*IFERROR(INDEX('Matérias-Primas'!$D$5:$D$45,MATCH(H21,'Matérias-Primas'!$A$5:$A$45,0)),0))</f>
        <v>3.2</v>
      </c>
      <c r="N21" s="37" t="n">
        <f aca="false">(L21+M21)/(1+(N(E21)+N(G21)+N(I21))/100)</f>
        <v>11.7699530516432</v>
      </c>
      <c r="O21" s="33" t="s">
        <v>201</v>
      </c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customFormat="false" ht="15" hidden="false" customHeight="false" outlineLevel="0" collapsed="false">
      <c r="A23" s="3" t="s">
        <v>202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</sheetData>
  <dataValidations count="4">
    <dataValidation allowBlank="false" errorStyle="stop" operator="between" showDropDown="false" showErrorMessage="false" showInputMessage="false" sqref="C5:C21" type="list">
      <formula1>"A,B,C,D,E"</formula1>
      <formula2>0</formula2>
    </dataValidation>
    <dataValidation allowBlank="true" errorStyle="stop" operator="between" showDropDown="false" showErrorMessage="false" showInputMessage="false" sqref="D5:D21 F5:F21 H5:H21" type="list">
      <formula1>'Matérias-Primas'!$A$5:$A$45</formula1>
      <formula2>0</formula2>
    </dataValidation>
    <dataValidation allowBlank="false" errorStyle="stop" operator="between" showDropDown="false" showErrorMessage="false" showInputMessage="false" sqref="J5:J21" type="list">
      <formula1>"Sim,Recomendado,Não necessário"</formula1>
      <formula2>0</formula2>
    </dataValidation>
    <dataValidation allowBlank="false" errorStyle="stop" operator="between" showDropDown="false" showErrorMessage="false" showInputMessage="false" sqref="K5:K21" type="list">
      <formula1>"Pendente lixiviação,Aprovada,Não (decorativa)"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48"/>
    <col collapsed="false" customWidth="true" hidden="false" outlineLevel="0" max="4" min="4" style="0" width="18"/>
    <col collapsed="false" customWidth="true" hidden="false" outlineLevel="0" max="5" min="5" style="0" width="52"/>
  </cols>
  <sheetData>
    <row r="1" customFormat="false" ht="17.35" hidden="false" customHeight="false" outlineLevel="0" collapsed="false">
      <c r="A1" s="1" t="s">
        <v>203</v>
      </c>
      <c r="B1" s="2"/>
      <c r="C1" s="2"/>
      <c r="D1" s="2"/>
      <c r="E1" s="2"/>
    </row>
    <row r="2" customFormat="false" ht="15" hidden="false" customHeight="false" outlineLevel="0" collapsed="false">
      <c r="A2" s="3" t="s">
        <v>204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12" t="s">
        <v>205</v>
      </c>
      <c r="B4" s="12" t="s">
        <v>130</v>
      </c>
      <c r="C4" s="12" t="s">
        <v>206</v>
      </c>
      <c r="D4" s="2"/>
      <c r="E4" s="2"/>
    </row>
    <row r="5" customFormat="false" ht="15" hidden="false" customHeight="false" outlineLevel="0" collapsed="false">
      <c r="A5" s="27" t="s">
        <v>207</v>
      </c>
      <c r="B5" s="38" t="n">
        <v>1.55</v>
      </c>
      <c r="C5" s="17" t="s">
        <v>208</v>
      </c>
      <c r="D5" s="2"/>
      <c r="E5" s="2"/>
    </row>
    <row r="6" customFormat="false" ht="15" hidden="false" customHeight="false" outlineLevel="0" collapsed="false">
      <c r="A6" s="27" t="s">
        <v>209</v>
      </c>
      <c r="B6" s="38" t="n">
        <v>2.6</v>
      </c>
      <c r="C6" s="17" t="s">
        <v>210</v>
      </c>
      <c r="D6" s="2"/>
      <c r="E6" s="2"/>
    </row>
    <row r="7" customFormat="false" ht="15" hidden="false" customHeight="false" outlineLevel="0" collapsed="false">
      <c r="A7" s="27" t="s">
        <v>211</v>
      </c>
      <c r="B7" s="39" t="n">
        <f aca="false">(1-1/B5)/(1-1/B6)</f>
        <v>0.576612903225807</v>
      </c>
      <c r="C7" s="17" t="s">
        <v>212</v>
      </c>
      <c r="D7" s="2"/>
      <c r="E7" s="2"/>
    </row>
    <row r="8" customFormat="false" ht="15" hidden="false" customHeight="false" outlineLevel="0" collapsed="false">
      <c r="A8" s="27" t="s">
        <v>213</v>
      </c>
      <c r="B8" s="40" t="n">
        <f aca="false">B5*B7</f>
        <v>0.89375</v>
      </c>
      <c r="C8" s="17" t="s">
        <v>214</v>
      </c>
      <c r="D8" s="2"/>
      <c r="E8" s="2"/>
    </row>
    <row r="9" customFormat="false" ht="15" hidden="false" customHeight="false" outlineLevel="0" collapsed="false">
      <c r="A9" s="2"/>
      <c r="B9" s="2"/>
      <c r="C9" s="2"/>
      <c r="D9" s="2"/>
      <c r="E9" s="2"/>
    </row>
    <row r="10" customFormat="false" ht="15" hidden="false" customHeight="false" outlineLevel="0" collapsed="false">
      <c r="A10" s="2"/>
      <c r="B10" s="2"/>
      <c r="C10" s="2"/>
      <c r="D10" s="2"/>
      <c r="E10" s="2"/>
    </row>
    <row r="11" customFormat="false" ht="31.5" hidden="false" customHeight="true" outlineLevel="0" collapsed="false">
      <c r="A11" s="12" t="s">
        <v>94</v>
      </c>
      <c r="B11" s="12" t="s">
        <v>215</v>
      </c>
      <c r="C11" s="12" t="s">
        <v>43</v>
      </c>
      <c r="D11" s="12" t="s">
        <v>216</v>
      </c>
      <c r="E11" s="12" t="s">
        <v>217</v>
      </c>
    </row>
    <row r="12" customFormat="false" ht="15" hidden="false" customHeight="false" outlineLevel="0" collapsed="false">
      <c r="A12" s="13" t="s">
        <v>93</v>
      </c>
      <c r="B12" s="29" t="n">
        <v>1</v>
      </c>
      <c r="C12" s="19" t="n">
        <f aca="false">IFERROR(INDEX('Matérias-Primas'!$D$5:$D$45,MATCH(A12,'Matérias-Primas'!$A$5:$A$45,0)),0)</f>
        <v>60</v>
      </c>
      <c r="D12" s="41" t="n">
        <f aca="false">N(B12)/100*C12</f>
        <v>0.6</v>
      </c>
      <c r="E12" s="17" t="s">
        <v>218</v>
      </c>
    </row>
    <row r="13" customFormat="false" ht="15" hidden="false" customHeight="false" outlineLevel="0" collapsed="false">
      <c r="A13" s="13" t="s">
        <v>96</v>
      </c>
      <c r="B13" s="29" t="n">
        <v>1.5</v>
      </c>
      <c r="C13" s="19" t="n">
        <f aca="false">IFERROR(INDEX('Matérias-Primas'!$D$5:$D$45,MATCH(A13,'Matérias-Primas'!$A$5:$A$45,0)),0)</f>
        <v>8</v>
      </c>
      <c r="D13" s="41" t="n">
        <f aca="false">N(B13)/100*C13</f>
        <v>0.12</v>
      </c>
      <c r="E13" s="17" t="s">
        <v>219</v>
      </c>
    </row>
    <row r="14" customFormat="false" ht="15" hidden="false" customHeight="false" outlineLevel="0" collapsed="false">
      <c r="A14" s="13" t="s">
        <v>98</v>
      </c>
      <c r="B14" s="29" t="n">
        <v>3</v>
      </c>
      <c r="C14" s="19" t="n">
        <f aca="false">IFERROR(INDEX('Matérias-Primas'!$D$5:$D$45,MATCH(A14,'Matérias-Primas'!$A$5:$A$45,0)),0)</f>
        <v>20</v>
      </c>
      <c r="D14" s="41" t="n">
        <f aca="false">N(B14)/100*C14</f>
        <v>0.6</v>
      </c>
      <c r="E14" s="17" t="s">
        <v>220</v>
      </c>
    </row>
    <row r="15" customFormat="false" ht="15" hidden="false" customHeight="false" outlineLevel="0" collapsed="false">
      <c r="A15" s="13" t="s">
        <v>100</v>
      </c>
      <c r="B15" s="29" t="n">
        <v>0.1</v>
      </c>
      <c r="C15" s="19" t="n">
        <f aca="false">IFERROR(INDEX('Matérias-Primas'!$D$5:$D$45,MATCH(A15,'Matérias-Primas'!$A$5:$A$45,0)),0)</f>
        <v>10</v>
      </c>
      <c r="D15" s="41" t="n">
        <f aca="false">N(B15)/100*C15</f>
        <v>0.01</v>
      </c>
      <c r="E15" s="17" t="s">
        <v>221</v>
      </c>
    </row>
    <row r="16" customFormat="false" ht="15" hidden="false" customHeight="false" outlineLevel="0" collapsed="false">
      <c r="A16" s="13" t="s">
        <v>102</v>
      </c>
      <c r="B16" s="29" t="n">
        <v>0.2</v>
      </c>
      <c r="C16" s="19" t="n">
        <f aca="false">IFERROR(INDEX('Matérias-Primas'!$D$5:$D$45,MATCH(A16,'Matérias-Primas'!$A$5:$A$45,0)),0)</f>
        <v>80</v>
      </c>
      <c r="D16" s="41" t="n">
        <f aca="false">N(B16)/100*C16</f>
        <v>0.16</v>
      </c>
      <c r="E16" s="17" t="s">
        <v>222</v>
      </c>
    </row>
    <row r="17" customFormat="false" ht="15" hidden="false" customHeight="false" outlineLevel="0" collapsed="false">
      <c r="A17" s="5" t="s">
        <v>223</v>
      </c>
      <c r="B17" s="2"/>
      <c r="C17" s="2"/>
      <c r="D17" s="31" t="n">
        <f aca="false">SUM(D12:D16)</f>
        <v>1.49</v>
      </c>
      <c r="E17" s="2"/>
    </row>
    <row r="18" customFormat="false" ht="15" hidden="false" customHeight="false" outlineLevel="0" collapsed="false">
      <c r="A18" s="2"/>
      <c r="B18" s="2"/>
      <c r="C18" s="2"/>
      <c r="D18" s="2"/>
      <c r="E18" s="2"/>
    </row>
    <row r="19" customFormat="false" ht="15" hidden="false" customHeight="false" outlineLevel="0" collapsed="false">
      <c r="A19" s="4" t="s">
        <v>224</v>
      </c>
      <c r="B19" s="2"/>
      <c r="C19" s="2"/>
      <c r="D19" s="2"/>
      <c r="E19" s="2"/>
    </row>
    <row r="20" customFormat="false" ht="15" hidden="false" customHeight="false" outlineLevel="0" collapsed="false">
      <c r="A20" s="8" t="s">
        <v>225</v>
      </c>
      <c r="B20" s="2"/>
      <c r="C20" s="2"/>
      <c r="D20" s="2"/>
      <c r="E20" s="2"/>
    </row>
    <row r="21" customFormat="false" ht="15" hidden="false" customHeight="false" outlineLevel="0" collapsed="false">
      <c r="A21" s="8" t="s">
        <v>226</v>
      </c>
      <c r="B21" s="2"/>
      <c r="C21" s="2"/>
      <c r="D21" s="2"/>
      <c r="E21" s="2"/>
    </row>
    <row r="22" customFormat="false" ht="15" hidden="false" customHeight="false" outlineLevel="0" collapsed="false">
      <c r="A22" s="8" t="s">
        <v>227</v>
      </c>
      <c r="B22" s="2"/>
      <c r="C22" s="2"/>
      <c r="D22" s="2"/>
      <c r="E22" s="2"/>
    </row>
    <row r="23" customFormat="false" ht="15" hidden="false" customHeight="false" outlineLevel="0" collapsed="false">
      <c r="A23" s="8" t="s">
        <v>228</v>
      </c>
      <c r="B23" s="2"/>
      <c r="C23" s="2"/>
      <c r="D23" s="2"/>
      <c r="E23" s="2"/>
    </row>
    <row r="24" customFormat="false" ht="15" hidden="false" customHeight="false" outlineLevel="0" collapsed="false">
      <c r="A24" s="8" t="s">
        <v>229</v>
      </c>
      <c r="B24" s="2"/>
      <c r="C24" s="2"/>
      <c r="D24" s="2"/>
      <c r="E24" s="2"/>
    </row>
    <row r="25" customFormat="false" ht="15" hidden="false" customHeight="false" outlineLevel="0" collapsed="false">
      <c r="A25" s="8" t="s">
        <v>230</v>
      </c>
      <c r="B25" s="2"/>
      <c r="C25" s="2"/>
      <c r="D25" s="2"/>
      <c r="E25" s="2"/>
    </row>
  </sheetData>
  <dataValidations count="1">
    <dataValidation allowBlank="true" errorStyle="stop" operator="between" showDropDown="false" showErrorMessage="false" showInputMessage="false" sqref="A12:A16" type="list">
      <formula1>'Matérias-Primas'!$A$5:$A$45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2"/>
    <col collapsed="false" customWidth="true" hidden="false" outlineLevel="0" max="10" min="3" style="0" width="14"/>
  </cols>
  <sheetData>
    <row r="1" customFormat="false" ht="17.35" hidden="false" customHeight="false" outlineLevel="0" collapsed="false">
      <c r="A1" s="1" t="s">
        <v>231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232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12" t="s">
        <v>233</v>
      </c>
      <c r="B4" s="12" t="s">
        <v>130</v>
      </c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42" t="s">
        <v>234</v>
      </c>
      <c r="B5" s="2"/>
      <c r="C5" s="2"/>
      <c r="D5" s="2"/>
      <c r="E5" s="2"/>
      <c r="F5" s="2"/>
      <c r="G5" s="2"/>
      <c r="H5" s="2"/>
      <c r="I5" s="2"/>
      <c r="J5" s="2"/>
    </row>
    <row r="6" customFormat="false" ht="15" hidden="false" customHeight="false" outlineLevel="0" collapsed="false">
      <c r="A6" s="43" t="s">
        <v>235</v>
      </c>
      <c r="B6" s="44" t="n">
        <v>100</v>
      </c>
      <c r="C6" s="2"/>
      <c r="D6" s="2"/>
      <c r="E6" s="2"/>
      <c r="F6" s="2"/>
      <c r="G6" s="2"/>
      <c r="H6" s="2"/>
      <c r="I6" s="2"/>
      <c r="J6" s="2"/>
    </row>
    <row r="7" customFormat="false" ht="15" hidden="false" customHeight="false" outlineLevel="0" collapsed="false">
      <c r="A7" s="43" t="s">
        <v>236</v>
      </c>
      <c r="B7" s="44" t="n">
        <v>250</v>
      </c>
      <c r="C7" s="2"/>
      <c r="D7" s="2"/>
      <c r="E7" s="2"/>
      <c r="F7" s="2"/>
      <c r="G7" s="2"/>
      <c r="H7" s="2"/>
      <c r="I7" s="2"/>
      <c r="J7" s="2"/>
    </row>
    <row r="8" customFormat="false" ht="15" hidden="false" customHeight="false" outlineLevel="0" collapsed="false">
      <c r="A8" s="43" t="s">
        <v>237</v>
      </c>
      <c r="B8" s="45" t="n">
        <v>3.5</v>
      </c>
      <c r="C8" s="2"/>
      <c r="D8" s="2"/>
      <c r="E8" s="2"/>
      <c r="F8" s="2"/>
      <c r="G8" s="2"/>
      <c r="H8" s="2"/>
      <c r="I8" s="2"/>
      <c r="J8" s="2"/>
    </row>
    <row r="9" customFormat="false" ht="15" hidden="false" customHeight="false" outlineLevel="0" collapsed="false">
      <c r="A9" s="43" t="s">
        <v>238</v>
      </c>
      <c r="B9" s="45" t="n">
        <v>5</v>
      </c>
      <c r="C9" s="2"/>
      <c r="D9" s="2"/>
      <c r="E9" s="2"/>
      <c r="F9" s="2"/>
      <c r="G9" s="2"/>
      <c r="H9" s="2"/>
      <c r="I9" s="2"/>
      <c r="J9" s="2"/>
    </row>
    <row r="10" customFormat="false" ht="15" hidden="false" customHeight="false" outlineLevel="0" collapsed="false">
      <c r="A10" s="43" t="s">
        <v>239</v>
      </c>
      <c r="B10" s="45" t="n">
        <v>10</v>
      </c>
      <c r="C10" s="2"/>
      <c r="D10" s="2"/>
      <c r="E10" s="2"/>
      <c r="F10" s="2"/>
      <c r="G10" s="2"/>
      <c r="H10" s="2"/>
      <c r="I10" s="2"/>
      <c r="J10" s="2"/>
    </row>
    <row r="11" customFormat="false" ht="15" hidden="false" customHeight="false" outlineLevel="0" collapsed="false">
      <c r="A11" s="43" t="s">
        <v>240</v>
      </c>
      <c r="B11" s="45" t="n">
        <v>4</v>
      </c>
      <c r="C11" s="2"/>
      <c r="D11" s="2"/>
      <c r="E11" s="2"/>
      <c r="F11" s="2"/>
      <c r="G11" s="2"/>
      <c r="H11" s="2"/>
      <c r="I11" s="2"/>
      <c r="J11" s="2"/>
    </row>
    <row r="12" customFormat="false" ht="15" hidden="false" customHeight="false" outlineLevel="0" collapsed="false">
      <c r="A12" s="43" t="s">
        <v>241</v>
      </c>
      <c r="B12" s="45" t="n">
        <v>34.9</v>
      </c>
      <c r="C12" s="2"/>
      <c r="D12" s="2"/>
      <c r="E12" s="2"/>
      <c r="F12" s="2"/>
      <c r="G12" s="2"/>
      <c r="H12" s="2"/>
      <c r="I12" s="2"/>
      <c r="J12" s="2"/>
    </row>
    <row r="13" customFormat="false" ht="15" hidden="false" customHeight="false" outlineLevel="0" collapsed="false">
      <c r="A13" s="43" t="s">
        <v>242</v>
      </c>
      <c r="B13" s="45" t="n">
        <v>69.9</v>
      </c>
      <c r="C13" s="2"/>
      <c r="D13" s="2"/>
      <c r="E13" s="2"/>
      <c r="F13" s="2"/>
      <c r="G13" s="2"/>
      <c r="H13" s="2"/>
      <c r="I13" s="2"/>
      <c r="J13" s="2"/>
    </row>
    <row r="14" customFormat="false" ht="15" hidden="false" customHeight="false" outlineLevel="0" collapsed="false">
      <c r="A14" s="42" t="s">
        <v>243</v>
      </c>
      <c r="B14" s="2"/>
      <c r="C14" s="2"/>
      <c r="D14" s="2"/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A15" s="43" t="s">
        <v>244</v>
      </c>
      <c r="B15" s="45" t="n">
        <v>4.5</v>
      </c>
      <c r="C15" s="2"/>
      <c r="D15" s="2"/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43" t="s">
        <v>245</v>
      </c>
      <c r="B16" s="45" t="n">
        <v>6.5</v>
      </c>
      <c r="C16" s="2"/>
      <c r="D16" s="2"/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43" t="s">
        <v>246</v>
      </c>
      <c r="B17" s="45" t="n">
        <v>8</v>
      </c>
      <c r="C17" s="2"/>
      <c r="D17" s="2"/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43" t="s">
        <v>247</v>
      </c>
      <c r="B18" s="45" t="n">
        <v>3</v>
      </c>
      <c r="C18" s="2"/>
      <c r="D18" s="2"/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42" t="s">
        <v>248</v>
      </c>
      <c r="B19" s="2"/>
      <c r="C19" s="2"/>
      <c r="D19" s="2"/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43" t="s">
        <v>249</v>
      </c>
      <c r="B20" s="46" t="n">
        <v>0.1</v>
      </c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43" t="s">
        <v>250</v>
      </c>
      <c r="B21" s="46" t="n">
        <v>0.06</v>
      </c>
      <c r="C21" s="2"/>
      <c r="D21" s="2"/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43" t="s">
        <v>251</v>
      </c>
      <c r="B22" s="46" t="n">
        <v>0.15</v>
      </c>
      <c r="C22" s="2"/>
      <c r="D22" s="2"/>
      <c r="E22" s="2"/>
      <c r="F22" s="2"/>
      <c r="G22" s="2"/>
      <c r="H22" s="2"/>
      <c r="I22" s="2"/>
      <c r="J22" s="2"/>
    </row>
    <row r="23" customFormat="false" ht="15" hidden="false" customHeight="false" outlineLevel="0" collapsed="false">
      <c r="A23" s="43" t="s">
        <v>252</v>
      </c>
      <c r="B23" s="46" t="n">
        <v>0.3</v>
      </c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3" t="s">
        <v>253</v>
      </c>
      <c r="B24" s="2"/>
      <c r="C24" s="2"/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4" t="s">
        <v>254</v>
      </c>
      <c r="B25" s="2"/>
      <c r="C25" s="2"/>
      <c r="D25" s="2"/>
      <c r="E25" s="2"/>
      <c r="F25" s="2"/>
      <c r="G25" s="2"/>
      <c r="H25" s="2"/>
      <c r="I25" s="2"/>
      <c r="J25" s="2"/>
    </row>
    <row r="26" customFormat="false" ht="42" hidden="false" customHeight="true" outlineLevel="0" collapsed="false">
      <c r="A26" s="12" t="s">
        <v>150</v>
      </c>
      <c r="B26" s="12" t="s">
        <v>255</v>
      </c>
      <c r="C26" s="12" t="s">
        <v>256</v>
      </c>
      <c r="D26" s="12" t="s">
        <v>257</v>
      </c>
      <c r="E26" s="12" t="s">
        <v>258</v>
      </c>
      <c r="F26" s="12" t="s">
        <v>259</v>
      </c>
      <c r="G26" s="12" t="s">
        <v>260</v>
      </c>
      <c r="H26" s="12" t="s">
        <v>261</v>
      </c>
      <c r="I26" s="12" t="s">
        <v>262</v>
      </c>
      <c r="J26" s="12" t="s">
        <v>263</v>
      </c>
    </row>
    <row r="27" customFormat="false" ht="15" hidden="false" customHeight="false" outlineLevel="0" collapsed="false">
      <c r="A27" s="47" t="n">
        <f aca="false">Cores!A5</f>
        <v>1</v>
      </c>
      <c r="B27" s="47" t="str">
        <f aca="false">Cores!B5</f>
        <v>Transparente brilhante</v>
      </c>
      <c r="C27" s="48" t="n">
        <f aca="false">Cores!N5</f>
        <v>6.2</v>
      </c>
      <c r="D27" s="41" t="n">
        <f aca="false">Pincel!$B$8*(C27*(1+$B$20)+Pincel!$D$17)+$B$10+$B$11</f>
        <v>21.4270625</v>
      </c>
      <c r="E27" s="41" t="n">
        <f aca="false">D27*$B$6/1000+$B$8</f>
        <v>5.64270625</v>
      </c>
      <c r="F27" s="41" t="n">
        <f aca="false">IF((1-$B$21-$B$22-$B$23)&lt;=0,"inviável",E27/(1-$B$21-$B$22-$B$23))</f>
        <v>11.5157270408163</v>
      </c>
      <c r="G27" s="49" t="n">
        <f aca="false">IF($B$12=0,0,($B$12*(1-$B$21-$B$22)-E27)/$B$12)</f>
        <v>0.628317872492837</v>
      </c>
      <c r="H27" s="41" t="n">
        <f aca="false">D27*$B$7/1000+$B$9</f>
        <v>10.356765625</v>
      </c>
      <c r="I27" s="41" t="n">
        <f aca="false">IF((1-$B$21-$B$22-$B$23)&lt;=0,"inviável",H27/(1-$B$21-$B$22-$B$23))</f>
        <v>21.136256377551</v>
      </c>
      <c r="J27" s="49" t="n">
        <f aca="false">IF($B$13=0,0,($B$13*(1-$B$21-$B$22)-H27)/$B$13)</f>
        <v>0.641834540414878</v>
      </c>
    </row>
    <row r="28" customFormat="false" ht="15" hidden="false" customHeight="false" outlineLevel="0" collapsed="false">
      <c r="A28" s="47" t="n">
        <f aca="false">Cores!A6</f>
        <v>2</v>
      </c>
      <c r="B28" s="47" t="str">
        <f aca="false">Cores!B6</f>
        <v>Transparente mate</v>
      </c>
      <c r="C28" s="48" t="n">
        <f aca="false">Cores!N6</f>
        <v>5.455</v>
      </c>
      <c r="D28" s="41" t="n">
        <f aca="false">Pincel!$B$8*(C28*(1+$B$20)+Pincel!$D$17)+$B$10+$B$11</f>
        <v>20.694634375</v>
      </c>
      <c r="E28" s="41" t="n">
        <f aca="false">D28*$B$6/1000+$B$8</f>
        <v>5.5694634375</v>
      </c>
      <c r="F28" s="41" t="n">
        <f aca="false">IF((1-$B$21-$B$22-$B$23)&lt;=0,"inviável",E28/(1-$B$21-$B$22-$B$23))</f>
        <v>11.3662519132653</v>
      </c>
      <c r="G28" s="49" t="n">
        <f aca="false">IF($B$12=0,0,($B$12*(1-$B$21-$B$22)-E28)/$B$12)</f>
        <v>0.630416520415473</v>
      </c>
      <c r="H28" s="41" t="n">
        <f aca="false">D28*$B$7/1000+$B$9</f>
        <v>10.17365859375</v>
      </c>
      <c r="I28" s="41" t="n">
        <f aca="false">IF((1-$B$21-$B$22-$B$23)&lt;=0,"inviável",H28/(1-$B$21-$B$22-$B$23))</f>
        <v>20.7625685586735</v>
      </c>
      <c r="J28" s="49" t="n">
        <f aca="false">IF($B$13=0,0,($B$13*(1-$B$21-$B$22)-H28)/$B$13)</f>
        <v>0.644454097371245</v>
      </c>
    </row>
    <row r="29" customFormat="false" ht="15" hidden="false" customHeight="false" outlineLevel="0" collapsed="false">
      <c r="A29" s="47" t="n">
        <f aca="false">Cores!A7</f>
        <v>3</v>
      </c>
      <c r="B29" s="47" t="str">
        <f aca="false">Cores!B7</f>
        <v>Branco brilhante</v>
      </c>
      <c r="C29" s="48" t="n">
        <f aca="false">Cores!N7</f>
        <v>10.1727272727273</v>
      </c>
      <c r="D29" s="41" t="n">
        <f aca="false">Pincel!$B$8*(C29*(1+$B$20)+Pincel!$D$17)+$B$10+$B$11</f>
        <v>25.33275</v>
      </c>
      <c r="E29" s="41" t="n">
        <f aca="false">D29*$B$6/1000+$B$8</f>
        <v>6.033275</v>
      </c>
      <c r="F29" s="41" t="n">
        <f aca="false">IF((1-$B$21-$B$22-$B$23)&lt;=0,"inviável",E29/(1-$B$21-$B$22-$B$23))</f>
        <v>12.312806122449</v>
      </c>
      <c r="G29" s="49" t="n">
        <f aca="false">IF($B$12=0,0,($B$12*(1-$B$21-$B$22)-E29)/$B$12)</f>
        <v>0.617126790830946</v>
      </c>
      <c r="H29" s="41" t="n">
        <f aca="false">D29*$B$7/1000+$B$9</f>
        <v>11.3331875</v>
      </c>
      <c r="I29" s="41" t="n">
        <f aca="false">IF((1-$B$21-$B$22-$B$23)&lt;=0,"inviável",H29/(1-$B$21-$B$22-$B$23))</f>
        <v>23.1289540816327</v>
      </c>
      <c r="J29" s="49" t="n">
        <f aca="false">IF($B$13=0,0,($B$13*(1-$B$21-$B$22)-H29)/$B$13)</f>
        <v>0.627865701001431</v>
      </c>
    </row>
    <row r="30" customFormat="false" ht="15" hidden="false" customHeight="false" outlineLevel="0" collapsed="false">
      <c r="A30" s="47" t="n">
        <f aca="false">Cores!A8</f>
        <v>4</v>
      </c>
      <c r="B30" s="47" t="str">
        <f aca="false">Cores!B8</f>
        <v>Branco acetinado</v>
      </c>
      <c r="C30" s="48" t="n">
        <f aca="false">Cores!N8</f>
        <v>6.90277777777778</v>
      </c>
      <c r="D30" s="41" t="n">
        <f aca="false">Pincel!$B$8*(C30*(1+$B$20)+Pincel!$D$17)+$B$10+$B$11</f>
        <v>22.1179809027778</v>
      </c>
      <c r="E30" s="41" t="n">
        <f aca="false">D30*$B$6/1000+$B$8</f>
        <v>5.71179809027778</v>
      </c>
      <c r="F30" s="41" t="n">
        <f aca="false">IF((1-$B$21-$B$22-$B$23)&lt;=0,"inviável",E30/(1-$B$21-$B$22-$B$23))</f>
        <v>11.6567307964853</v>
      </c>
      <c r="G30" s="49" t="n">
        <f aca="false">IF($B$12=0,0,($B$12*(1-$B$21-$B$22)-E30)/$B$12)</f>
        <v>0.626338163602356</v>
      </c>
      <c r="H30" s="41" t="n">
        <f aca="false">D30*$B$7/1000+$B$9</f>
        <v>10.5294952256944</v>
      </c>
      <c r="I30" s="41" t="n">
        <f aca="false">IF((1-$B$21-$B$22-$B$23)&lt;=0,"inviável",H30/(1-$B$21-$B$22-$B$23))</f>
        <v>21.4887657667234</v>
      </c>
      <c r="J30" s="49" t="n">
        <f aca="false">IF($B$13=0,0,($B$13*(1-$B$21-$B$22)-H30)/$B$13)</f>
        <v>0.639363444553728</v>
      </c>
    </row>
    <row r="31" customFormat="false" ht="15" hidden="false" customHeight="false" outlineLevel="0" collapsed="false">
      <c r="A31" s="47" t="n">
        <f aca="false">Cores!A9</f>
        <v>5</v>
      </c>
      <c r="B31" s="47" t="str">
        <f aca="false">Cores!B9</f>
        <v>Preto brilhante</v>
      </c>
      <c r="C31" s="48" t="n">
        <f aca="false">Cores!N9</f>
        <v>22.1495327102804</v>
      </c>
      <c r="D31" s="41" t="n">
        <f aca="false">Pincel!$B$8*(C31*(1+$B$20)+Pincel!$D$17)+$B$10+$B$11</f>
        <v>37.1074468457944</v>
      </c>
      <c r="E31" s="41" t="n">
        <f aca="false">D31*$B$6/1000+$B$8</f>
        <v>7.21074468457944</v>
      </c>
      <c r="F31" s="41" t="n">
        <f aca="false">IF((1-$B$21-$B$22-$B$23)&lt;=0,"inviável",E31/(1-$B$21-$B$22-$B$23))</f>
        <v>14.7158054787336</v>
      </c>
      <c r="G31" s="49" t="n">
        <f aca="false">IF($B$12=0,0,($B$12*(1-$B$21-$B$22)-E31)/$B$12)</f>
        <v>0.583388404453311</v>
      </c>
      <c r="H31" s="41" t="n">
        <f aca="false">D31*$B$7/1000+$B$9</f>
        <v>14.2768617114486</v>
      </c>
      <c r="I31" s="41" t="n">
        <f aca="false">IF((1-$B$21-$B$22-$B$23)&lt;=0,"inviável",H31/(1-$B$21-$B$22-$B$23))</f>
        <v>29.1364524723441</v>
      </c>
      <c r="J31" s="49" t="n">
        <f aca="false">IF($B$13=0,0,($B$13*(1-$B$21-$B$22)-H31)/$B$13)</f>
        <v>0.58575305133836</v>
      </c>
    </row>
    <row r="32" customFormat="false" ht="15" hidden="false" customHeight="false" outlineLevel="0" collapsed="false">
      <c r="A32" s="47" t="n">
        <f aca="false">Cores!A10</f>
        <v>6</v>
      </c>
      <c r="B32" s="47" t="str">
        <f aca="false">Cores!B10</f>
        <v>Tenmoku</v>
      </c>
      <c r="C32" s="48" t="n">
        <f aca="false">Cores!N10</f>
        <v>6.65</v>
      </c>
      <c r="D32" s="41" t="n">
        <f aca="false">Pincel!$B$8*(C32*(1+$B$20)+Pincel!$D$17)+$B$10+$B$11</f>
        <v>21.86946875</v>
      </c>
      <c r="E32" s="41" t="n">
        <f aca="false">D32*$B$6/1000+$B$8</f>
        <v>5.686946875</v>
      </c>
      <c r="F32" s="41" t="n">
        <f aca="false">IF((1-$B$21-$B$22-$B$23)&lt;=0,"inviável",E32/(1-$B$21-$B$22-$B$23))</f>
        <v>11.6060140306122</v>
      </c>
      <c r="G32" s="49" t="n">
        <f aca="false">IF($B$12=0,0,($B$12*(1-$B$21-$B$22)-E32)/$B$12)</f>
        <v>0.627050232808023</v>
      </c>
      <c r="H32" s="41" t="n">
        <f aca="false">D32*$B$7/1000+$B$9</f>
        <v>10.4673671875</v>
      </c>
      <c r="I32" s="41" t="n">
        <f aca="false">IF((1-$B$21-$B$22-$B$23)&lt;=0,"inviável",H32/(1-$B$21-$B$22-$B$23))</f>
        <v>21.3619738520408</v>
      </c>
      <c r="J32" s="49" t="n">
        <f aca="false">IF($B$13=0,0,($B$13*(1-$B$21-$B$22)-H32)/$B$13)</f>
        <v>0.640252257689557</v>
      </c>
    </row>
    <row r="33" customFormat="false" ht="15" hidden="false" customHeight="false" outlineLevel="0" collapsed="false">
      <c r="A33" s="47" t="n">
        <f aca="false">Cores!A11</f>
        <v>7</v>
      </c>
      <c r="B33" s="47" t="str">
        <f aca="false">Cores!B11</f>
        <v>Celadon verde</v>
      </c>
      <c r="C33" s="48" t="n">
        <f aca="false">Cores!N11</f>
        <v>6.40394088669951</v>
      </c>
      <c r="D33" s="41" t="n">
        <f aca="false">Pincel!$B$8*(C33*(1+$B$20)+Pincel!$D$17)+$B$10+$B$11</f>
        <v>21.6275618842365</v>
      </c>
      <c r="E33" s="41" t="n">
        <f aca="false">D33*$B$6/1000+$B$8</f>
        <v>5.66275618842365</v>
      </c>
      <c r="F33" s="41" t="n">
        <f aca="false">IF((1-$B$21-$B$22-$B$23)&lt;=0,"inviável",E33/(1-$B$21-$B$22-$B$23))</f>
        <v>11.5566452824972</v>
      </c>
      <c r="G33" s="49" t="n">
        <f aca="false">IF($B$12=0,0,($B$12*(1-$B$21-$B$22)-E33)/$B$12)</f>
        <v>0.627743375689867</v>
      </c>
      <c r="H33" s="41" t="n">
        <f aca="false">D33*$B$7/1000+$B$9</f>
        <v>10.4068904710591</v>
      </c>
      <c r="I33" s="41" t="n">
        <f aca="false">IF((1-$B$21-$B$22-$B$23)&lt;=0,"inviável",H33/(1-$B$21-$B$22-$B$23))</f>
        <v>21.2385519817533</v>
      </c>
      <c r="J33" s="49" t="n">
        <f aca="false">IF($B$13=0,0,($B$13*(1-$B$21-$B$22)-H33)/$B$13)</f>
        <v>0.641117446765964</v>
      </c>
    </row>
    <row r="34" customFormat="false" ht="15" hidden="false" customHeight="false" outlineLevel="0" collapsed="false">
      <c r="A34" s="47" t="n">
        <f aca="false">Cores!A12</f>
        <v>8</v>
      </c>
      <c r="B34" s="47" t="str">
        <f aca="false">Cores!B12</f>
        <v>Celadon azul</v>
      </c>
      <c r="C34" s="48" t="n">
        <f aca="false">Cores!N12</f>
        <v>7.22057368941642</v>
      </c>
      <c r="D34" s="41" t="n">
        <f aca="false">Pincel!$B$8*(C34*(1+$B$20)+Pincel!$D$17)+$B$10+$B$11</f>
        <v>22.4304140084075</v>
      </c>
      <c r="E34" s="41" t="n">
        <f aca="false">D34*$B$6/1000+$B$8</f>
        <v>5.74304140084075</v>
      </c>
      <c r="F34" s="41" t="n">
        <f aca="false">IF((1-$B$21-$B$22-$B$23)&lt;=0,"inviável",E34/(1-$B$21-$B$22-$B$23))</f>
        <v>11.720492654777</v>
      </c>
      <c r="G34" s="49" t="n">
        <f aca="false">IF($B$12=0,0,($B$12*(1-$B$21-$B$22)-E34)/$B$12)</f>
        <v>0.62544293980399</v>
      </c>
      <c r="H34" s="41" t="n">
        <f aca="false">D34*$B$7/1000+$B$9</f>
        <v>10.6076035021019</v>
      </c>
      <c r="I34" s="41" t="n">
        <f aca="false">IF((1-$B$21-$B$22-$B$23)&lt;=0,"inviável",H34/(1-$B$21-$B$22-$B$23))</f>
        <v>21.6481704124528</v>
      </c>
      <c r="J34" s="49" t="n">
        <f aca="false">IF($B$13=0,0,($B$13*(1-$B$21-$B$22)-H34)/$B$13)</f>
        <v>0.638246015706697</v>
      </c>
    </row>
    <row r="35" customFormat="false" ht="15" hidden="false" customHeight="false" outlineLevel="0" collapsed="false">
      <c r="A35" s="47" t="n">
        <f aca="false">Cores!A13</f>
        <v>9</v>
      </c>
      <c r="B35" s="47" t="str">
        <f aca="false">Cores!B13</f>
        <v>Rutilo mel</v>
      </c>
      <c r="C35" s="48" t="n">
        <f aca="false">Cores!N13</f>
        <v>13.4583333333333</v>
      </c>
      <c r="D35" s="41" t="n">
        <f aca="false">Pincel!$B$8*(C35*(1+$B$20)+Pincel!$D$17)+$B$10+$B$11</f>
        <v>28.5629114583333</v>
      </c>
      <c r="E35" s="41" t="n">
        <f aca="false">D35*$B$6/1000+$B$8</f>
        <v>6.35629114583333</v>
      </c>
      <c r="F35" s="41" t="n">
        <f aca="false">IF((1-$B$21-$B$22-$B$23)&lt;=0,"inviável",E35/(1-$B$21-$B$22-$B$23))</f>
        <v>12.9720227465986</v>
      </c>
      <c r="G35" s="49" t="n">
        <f aca="false">IF($B$12=0,0,($B$12*(1-$B$21-$B$22)-E35)/$B$12)</f>
        <v>0.60787131387297</v>
      </c>
      <c r="H35" s="41" t="n">
        <f aca="false">D35*$B$7/1000+$B$9</f>
        <v>12.1407278645833</v>
      </c>
      <c r="I35" s="41" t="n">
        <f aca="false">IF((1-$B$21-$B$22-$B$23)&lt;=0,"inviável",H35/(1-$B$21-$B$22-$B$23))</f>
        <v>24.7769956420068</v>
      </c>
      <c r="J35" s="49" t="n">
        <f aca="false">IF($B$13=0,0,($B$13*(1-$B$21-$B$22)-H35)/$B$13)</f>
        <v>0.616312906086075</v>
      </c>
    </row>
    <row r="36" customFormat="false" ht="15" hidden="false" customHeight="false" outlineLevel="0" collapsed="false">
      <c r="A36" s="47" t="n">
        <f aca="false">Cores!A14</f>
        <v>10</v>
      </c>
      <c r="B36" s="47" t="str">
        <f aca="false">Cores!B14</f>
        <v>Creme pintalgado</v>
      </c>
      <c r="C36" s="48" t="n">
        <f aca="false">Cores!N14</f>
        <v>11.6018735362998</v>
      </c>
      <c r="D36" s="41" t="n">
        <f aca="false">Pincel!$B$8*(C36*(1+$B$20)+Pincel!$D$17)+$B$10+$B$11</f>
        <v>26.7377794203747</v>
      </c>
      <c r="E36" s="41" t="n">
        <f aca="false">D36*$B$6/1000+$B$8</f>
        <v>6.17377794203747</v>
      </c>
      <c r="F36" s="41" t="n">
        <f aca="false">IF((1-$B$21-$B$22-$B$23)&lt;=0,"inviável",E36/(1-$B$21-$B$22-$B$23))</f>
        <v>12.5995468204846</v>
      </c>
      <c r="G36" s="49" t="n">
        <f aca="false">IF($B$12=0,0,($B$12*(1-$B$21-$B$22)-E36)/$B$12)</f>
        <v>0.613100918566262</v>
      </c>
      <c r="H36" s="41" t="n">
        <f aca="false">D36*$B$7/1000+$B$9</f>
        <v>11.6844448550937</v>
      </c>
      <c r="I36" s="41" t="n">
        <f aca="false">IF((1-$B$21-$B$22-$B$23)&lt;=0,"inviável",H36/(1-$B$21-$B$22-$B$23))</f>
        <v>23.8458058267218</v>
      </c>
      <c r="J36" s="49" t="n">
        <f aca="false">IF($B$13=0,0,($B$13*(1-$B$21-$B$22)-H36)/$B$13)</f>
        <v>0.622840560012966</v>
      </c>
    </row>
    <row r="37" customFormat="false" ht="15" hidden="false" customHeight="false" outlineLevel="0" collapsed="false">
      <c r="A37" s="47" t="n">
        <f aca="false">Cores!A15</f>
        <v>11</v>
      </c>
      <c r="B37" s="47" t="str">
        <f aca="false">Cores!B15</f>
        <v>Azul cobalto</v>
      </c>
      <c r="C37" s="48" t="n">
        <f aca="false">Cores!N15</f>
        <v>15.049504950495</v>
      </c>
      <c r="D37" s="41" t="n">
        <f aca="false">Pincel!$B$8*(C37*(1+$B$20)+Pincel!$D$17)+$B$10+$B$11</f>
        <v>30.1272320544554</v>
      </c>
      <c r="E37" s="41" t="n">
        <f aca="false">D37*$B$6/1000+$B$8</f>
        <v>6.51272320544554</v>
      </c>
      <c r="F37" s="41" t="n">
        <f aca="false">IF((1-$B$21-$B$22-$B$23)&lt;=0,"inviável",E37/(1-$B$21-$B$22-$B$23))</f>
        <v>13.2912718478481</v>
      </c>
      <c r="G37" s="49" t="n">
        <f aca="false">IF($B$12=0,0,($B$12*(1-$B$21-$B$22)-E37)/$B$12)</f>
        <v>0.603389019901274</v>
      </c>
      <c r="H37" s="41" t="n">
        <f aca="false">D37*$B$7/1000+$B$9</f>
        <v>12.5318080136139</v>
      </c>
      <c r="I37" s="41" t="n">
        <f aca="false">IF((1-$B$21-$B$22-$B$23)&lt;=0,"inviável",H37/(1-$B$21-$B$22-$B$23))</f>
        <v>25.5751183951303</v>
      </c>
      <c r="J37" s="49" t="n">
        <f aca="false">IF($B$13=0,0,($B$13*(1-$B$21-$B$22)-H37)/$B$13)</f>
        <v>0.610718054168614</v>
      </c>
    </row>
    <row r="38" customFormat="false" ht="15" hidden="false" customHeight="false" outlineLevel="0" collapsed="false">
      <c r="A38" s="47" t="n">
        <f aca="false">Cores!A16</f>
        <v>12</v>
      </c>
      <c r="B38" s="47" t="str">
        <f aca="false">Cores!B16</f>
        <v>Turquesa</v>
      </c>
      <c r="C38" s="48" t="n">
        <f aca="false">Cores!N16</f>
        <v>12.1365853658537</v>
      </c>
      <c r="D38" s="41" t="n">
        <f aca="false">Pincel!$B$8*(C38*(1+$B$20)+Pincel!$D$17)+$B$10+$B$11</f>
        <v>27.2634679878049</v>
      </c>
      <c r="E38" s="41" t="n">
        <f aca="false">D38*$B$6/1000+$B$8</f>
        <v>6.22634679878049</v>
      </c>
      <c r="F38" s="41" t="n">
        <f aca="false">IF((1-$B$21-$B$22-$B$23)&lt;=0,"inviável",E38/(1-$B$21-$B$22-$B$23))</f>
        <v>12.7068302015928</v>
      </c>
      <c r="G38" s="49" t="n">
        <f aca="false">IF($B$12=0,0,($B$12*(1-$B$21-$B$22)-E38)/$B$12)</f>
        <v>0.611594647599413</v>
      </c>
      <c r="H38" s="41" t="n">
        <f aca="false">D38*$B$7/1000+$B$9</f>
        <v>11.8158669969512</v>
      </c>
      <c r="I38" s="41" t="n">
        <f aca="false">IF((1-$B$21-$B$22-$B$23)&lt;=0,"inviável",H38/(1-$B$21-$B$22-$B$23))</f>
        <v>24.1140142794923</v>
      </c>
      <c r="J38" s="49" t="n">
        <f aca="false">IF($B$13=0,0,($B$13*(1-$B$21-$B$22)-H38)/$B$13)</f>
        <v>0.620960414922014</v>
      </c>
    </row>
    <row r="39" customFormat="false" ht="15" hidden="false" customHeight="false" outlineLevel="0" collapsed="false">
      <c r="A39" s="47" t="n">
        <f aca="false">Cores!A17</f>
        <v>13</v>
      </c>
      <c r="B39" s="47" t="str">
        <f aca="false">Cores!B17</f>
        <v>Amarelo</v>
      </c>
      <c r="C39" s="48" t="n">
        <f aca="false">Cores!N17</f>
        <v>24.2592592592593</v>
      </c>
      <c r="D39" s="41" t="n">
        <f aca="false">Pincel!$B$8*(C39*(1+$B$20)+Pincel!$D$17)+$B$10+$B$11</f>
        <v>39.1815717592593</v>
      </c>
      <c r="E39" s="41" t="n">
        <f aca="false">D39*$B$6/1000+$B$8</f>
        <v>7.41815717592593</v>
      </c>
      <c r="F39" s="41" t="n">
        <f aca="false">IF((1-$B$21-$B$22-$B$23)&lt;=0,"inviável",E39/(1-$B$21-$B$22-$B$23))</f>
        <v>15.1390962773999</v>
      </c>
      <c r="G39" s="49" t="n">
        <f aca="false">IF($B$12=0,0,($B$12*(1-$B$21-$B$22)-E39)/$B$12)</f>
        <v>0.577445353125332</v>
      </c>
      <c r="H39" s="41" t="n">
        <f aca="false">D39*$B$7/1000+$B$9</f>
        <v>14.7953929398148</v>
      </c>
      <c r="I39" s="41" t="n">
        <f aca="false">IF((1-$B$21-$B$22-$B$23)&lt;=0,"inviável",H39/(1-$B$21-$B$22-$B$23))</f>
        <v>30.1946794690098</v>
      </c>
      <c r="J39" s="49" t="n">
        <f aca="false">IF($B$13=0,0,($B$13*(1-$B$21-$B$22)-H39)/$B$13)</f>
        <v>0.578334864952578</v>
      </c>
    </row>
    <row r="40" customFormat="false" ht="15" hidden="false" customHeight="false" outlineLevel="0" collapsed="false">
      <c r="A40" s="47" t="n">
        <f aca="false">Cores!A18</f>
        <v>14</v>
      </c>
      <c r="B40" s="47" t="str">
        <f aca="false">Cores!B18</f>
        <v>Rosa coral</v>
      </c>
      <c r="C40" s="48" t="n">
        <f aca="false">Cores!N18</f>
        <v>24.9575471698113</v>
      </c>
      <c r="D40" s="41" t="n">
        <f aca="false">Pincel!$B$8*(C40*(1+$B$20)+Pincel!$D$17)+$B$10+$B$11</f>
        <v>39.8680760613208</v>
      </c>
      <c r="E40" s="41" t="n">
        <f aca="false">D40*$B$6/1000+$B$8</f>
        <v>7.48680760613208</v>
      </c>
      <c r="F40" s="41" t="n">
        <f aca="false">IF((1-$B$21-$B$22-$B$23)&lt;=0,"inviável",E40/(1-$B$21-$B$22-$B$23))</f>
        <v>15.2791991961879</v>
      </c>
      <c r="G40" s="49" t="n">
        <f aca="false">IF($B$12=0,0,($B$12*(1-$B$21-$B$22)-E40)/$B$12)</f>
        <v>0.575478292087906</v>
      </c>
      <c r="H40" s="41" t="n">
        <f aca="false">D40*$B$7/1000+$B$9</f>
        <v>14.9670190153302</v>
      </c>
      <c r="I40" s="41" t="n">
        <f aca="false">IF((1-$B$21-$B$22-$B$23)&lt;=0,"inviável",H40/(1-$B$21-$B$22-$B$23))</f>
        <v>30.54493676598</v>
      </c>
      <c r="J40" s="49" t="n">
        <f aca="false">IF($B$13=0,0,($B$13*(1-$B$21-$B$22)-H40)/$B$13)</f>
        <v>0.575879556289983</v>
      </c>
    </row>
    <row r="41" customFormat="false" ht="15" hidden="false" customHeight="false" outlineLevel="0" collapsed="false">
      <c r="A41" s="47" t="n">
        <f aca="false">Cores!A19</f>
        <v>15</v>
      </c>
      <c r="B41" s="47" t="str">
        <f aca="false">Cores!B19</f>
        <v>Ferrugem</v>
      </c>
      <c r="C41" s="48" t="n">
        <f aca="false">Cores!N19</f>
        <v>6.27570093457944</v>
      </c>
      <c r="D41" s="41" t="n">
        <f aca="false">Pincel!$B$8*(C41*(1+$B$20)+Pincel!$D$17)+$B$10+$B$11</f>
        <v>21.5014859813084</v>
      </c>
      <c r="E41" s="41" t="n">
        <f aca="false">D41*$B$6/1000+$B$8</f>
        <v>5.65014859813084</v>
      </c>
      <c r="F41" s="41" t="n">
        <f aca="false">IF((1-$B$21-$B$22-$B$23)&lt;=0,"inviável",E41/(1-$B$21-$B$22-$B$23))</f>
        <v>11.5309155063895</v>
      </c>
      <c r="G41" s="49" t="n">
        <f aca="false">IF($B$12=0,0,($B$12*(1-$B$21-$B$22)-E41)/$B$12)</f>
        <v>0.628104624695391</v>
      </c>
      <c r="H41" s="41" t="n">
        <f aca="false">D41*$B$7/1000+$B$9</f>
        <v>10.3753714953271</v>
      </c>
      <c r="I41" s="41" t="n">
        <f aca="false">IF((1-$B$21-$B$22-$B$23)&lt;=0,"inviável",H41/(1-$B$21-$B$22-$B$23))</f>
        <v>21.1742275414839</v>
      </c>
      <c r="J41" s="49" t="n">
        <f aca="false">IF($B$13=0,0,($B$13*(1-$B$21-$B$22)-H41)/$B$13)</f>
        <v>0.641568362012488</v>
      </c>
    </row>
    <row r="42" customFormat="false" ht="15" hidden="false" customHeight="false" outlineLevel="0" collapsed="false">
      <c r="A42" s="47" t="n">
        <f aca="false">Cores!A20</f>
        <v>16</v>
      </c>
      <c r="B42" s="47" t="str">
        <f aca="false">Cores!B20</f>
        <v>Azul flutuante</v>
      </c>
      <c r="C42" s="48" t="n">
        <f aca="false">Cores!N20</f>
        <v>20.5</v>
      </c>
      <c r="D42" s="41" t="n">
        <f aca="false">Pincel!$B$8*(C42*(1+$B$20)+Pincel!$D$17)+$B$10+$B$11</f>
        <v>35.48575</v>
      </c>
      <c r="E42" s="41" t="n">
        <f aca="false">D42*$B$6/1000+$B$8</f>
        <v>7.048575</v>
      </c>
      <c r="F42" s="41" t="n">
        <f aca="false">IF((1-$B$21-$B$22-$B$23)&lt;=0,"inviável",E42/(1-$B$21-$B$22-$B$23))</f>
        <v>14.3848469387755</v>
      </c>
      <c r="G42" s="49" t="n">
        <f aca="false">IF($B$12=0,0,($B$12*(1-$B$21-$B$22)-E42)/$B$12)</f>
        <v>0.588035100286533</v>
      </c>
      <c r="H42" s="41" t="n">
        <f aca="false">D42*$B$7/1000+$B$9</f>
        <v>13.8714375</v>
      </c>
      <c r="I42" s="41" t="n">
        <f aca="false">IF((1-$B$21-$B$22-$B$23)&lt;=0,"inviável",H42/(1-$B$21-$B$22-$B$23))</f>
        <v>28.309056122449</v>
      </c>
      <c r="J42" s="49" t="n">
        <f aca="false">IF($B$13=0,0,($B$13*(1-$B$21-$B$22)-H42)/$B$13)</f>
        <v>0.591553111587983</v>
      </c>
    </row>
    <row r="43" customFormat="false" ht="15" hidden="false" customHeight="false" outlineLevel="0" collapsed="false">
      <c r="A43" s="47" t="n">
        <f aca="false">Cores!A21</f>
        <v>17</v>
      </c>
      <c r="B43" s="47" t="str">
        <f aca="false">Cores!B21</f>
        <v>Imitação de cinza</v>
      </c>
      <c r="C43" s="48" t="n">
        <f aca="false">Cores!N21</f>
        <v>11.7699530516432</v>
      </c>
      <c r="D43" s="41" t="n">
        <f aca="false">Pincel!$B$8*(C43*(1+$B$20)+Pincel!$D$17)+$B$10+$B$11</f>
        <v>26.9030225938967</v>
      </c>
      <c r="E43" s="41" t="n">
        <f aca="false">D43*$B$6/1000+$B$8</f>
        <v>6.19030225938967</v>
      </c>
      <c r="F43" s="41" t="n">
        <f aca="false">IF((1-$B$21-$B$22-$B$23)&lt;=0,"inviável",E43/(1-$B$21-$B$22-$B$23))</f>
        <v>12.6332699171218</v>
      </c>
      <c r="G43" s="49" t="n">
        <f aca="false">IF($B$12=0,0,($B$12*(1-$B$21-$B$22)-E43)/$B$12)</f>
        <v>0.612627442424365</v>
      </c>
      <c r="H43" s="41" t="n">
        <f aca="false">D43*$B$7/1000+$B$9</f>
        <v>11.7257556484742</v>
      </c>
      <c r="I43" s="41" t="n">
        <f aca="false">IF((1-$B$21-$B$22-$B$23)&lt;=0,"inviável",H43/(1-$B$21-$B$22-$B$23))</f>
        <v>23.9301135683147</v>
      </c>
      <c r="J43" s="49" t="n">
        <f aca="false">IF($B$13=0,0,($B$13*(1-$B$21-$B$22)-H43)/$B$13)</f>
        <v>0.622249561538281</v>
      </c>
    </row>
    <row r="44" customFormat="false" ht="15" hidden="false" customHeight="false" outlineLevel="0" collapsed="false">
      <c r="A44" s="2"/>
      <c r="B44" s="5" t="s">
        <v>264</v>
      </c>
      <c r="C44" s="31" t="n">
        <f aca="false">AVERAGE(C27:C43)</f>
        <v>12.4213711728339</v>
      </c>
      <c r="D44" s="31" t="n">
        <f aca="false">AVERAGE(D27:D43)</f>
        <v>27.5434480342923</v>
      </c>
      <c r="E44" s="31" t="n">
        <f aca="false">AVERAGE(E27:E43)</f>
        <v>6.25434480342923</v>
      </c>
      <c r="F44" s="31" t="n">
        <f aca="false">AVERAGE(F27:F43)</f>
        <v>12.7639689865903</v>
      </c>
      <c r="G44" s="50" t="n">
        <f aca="false">AVERAGE(G27:G43)</f>
        <v>0.610792412509191</v>
      </c>
      <c r="H44" s="31" t="n">
        <f aca="false">AVERAGE(H27:H43)</f>
        <v>11.8858620085731</v>
      </c>
      <c r="I44" s="31" t="n">
        <f aca="false">AVERAGE(I27:I43)</f>
        <v>24.2568612419859</v>
      </c>
      <c r="J44" s="50" t="n">
        <f aca="false">AVERAGE(J27:J43)</f>
        <v>0.619959055671344</v>
      </c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15" hidden="false" customHeight="false" outlineLevel="0" collapsed="false">
      <c r="A46" s="4" t="s">
        <v>265</v>
      </c>
      <c r="B46" s="2"/>
      <c r="C46" s="2"/>
      <c r="D46" s="2"/>
      <c r="E46" s="2"/>
      <c r="F46" s="2"/>
      <c r="G46" s="2"/>
      <c r="H46" s="2"/>
      <c r="I46" s="2"/>
      <c r="J46" s="2"/>
    </row>
    <row r="47" customFormat="false" ht="42" hidden="false" customHeight="true" outlineLevel="0" collapsed="false">
      <c r="A47" s="12" t="s">
        <v>150</v>
      </c>
      <c r="B47" s="12" t="s">
        <v>255</v>
      </c>
      <c r="C47" s="12" t="s">
        <v>266</v>
      </c>
      <c r="D47" s="12" t="s">
        <v>267</v>
      </c>
      <c r="E47" s="12" t="s">
        <v>268</v>
      </c>
      <c r="F47" s="12" t="s">
        <v>269</v>
      </c>
      <c r="G47" s="12" t="s">
        <v>270</v>
      </c>
      <c r="H47" s="12" t="s">
        <v>271</v>
      </c>
      <c r="I47" s="12" t="s">
        <v>272</v>
      </c>
      <c r="J47" s="12" t="s">
        <v>273</v>
      </c>
    </row>
    <row r="48" customFormat="false" ht="15" hidden="false" customHeight="false" outlineLevel="0" collapsed="false">
      <c r="A48" s="47" t="n">
        <f aca="false">Cores!A5</f>
        <v>1</v>
      </c>
      <c r="B48" s="47" t="str">
        <f aca="false">Cores!B5</f>
        <v>Transparente brilhante</v>
      </c>
      <c r="C48" s="48" t="n">
        <f aca="false">Cores!N5</f>
        <v>6.2</v>
      </c>
      <c r="D48" s="41" t="n">
        <f aca="false">C48*(1+$B$20)</f>
        <v>6.82</v>
      </c>
      <c r="E48" s="41" t="n">
        <f aca="false">D48+$B$17+$B$18</f>
        <v>17.82</v>
      </c>
      <c r="F48" s="41" t="n">
        <f aca="false">E48*0.5+$B$15</f>
        <v>13.41</v>
      </c>
      <c r="G48" s="51" t="n">
        <f aca="false">IF((1-$B$21-$B$22-$B$23)&lt;=0,"inviável",F48/(1-$B$21-$B$22-$B$23))</f>
        <v>27.3673469387755</v>
      </c>
      <c r="H48" s="41" t="n">
        <f aca="false">E48+$B$16</f>
        <v>24.32</v>
      </c>
      <c r="I48" s="51" t="n">
        <f aca="false">IF((1-$B$21-$B$22-$B$23)&lt;=0,"inviável",H48/(1-$B$21-$B$22-$B$23))</f>
        <v>49.6326530612245</v>
      </c>
      <c r="J48" s="41" t="n">
        <f aca="false">IF(ISNUMBER(I48),I48*$B$23,0)</f>
        <v>14.8897959183673</v>
      </c>
    </row>
    <row r="49" customFormat="false" ht="15" hidden="false" customHeight="false" outlineLevel="0" collapsed="false">
      <c r="A49" s="47" t="n">
        <f aca="false">Cores!A6</f>
        <v>2</v>
      </c>
      <c r="B49" s="47" t="str">
        <f aca="false">Cores!B6</f>
        <v>Transparente mate</v>
      </c>
      <c r="C49" s="48" t="n">
        <f aca="false">Cores!N6</f>
        <v>5.455</v>
      </c>
      <c r="D49" s="41" t="n">
        <f aca="false">C49*(1+$B$20)</f>
        <v>6.0005</v>
      </c>
      <c r="E49" s="41" t="n">
        <f aca="false">D49+$B$17+$B$18</f>
        <v>17.0005</v>
      </c>
      <c r="F49" s="41" t="n">
        <f aca="false">E49*0.5+$B$15</f>
        <v>13.00025</v>
      </c>
      <c r="G49" s="51" t="n">
        <f aca="false">IF((1-$B$21-$B$22-$B$23)&lt;=0,"inviável",F49/(1-$B$21-$B$22-$B$23))</f>
        <v>26.5311224489796</v>
      </c>
      <c r="H49" s="41" t="n">
        <f aca="false">E49+$B$16</f>
        <v>23.5005</v>
      </c>
      <c r="I49" s="51" t="n">
        <f aca="false">IF((1-$B$21-$B$22-$B$23)&lt;=0,"inviável",H49/(1-$B$21-$B$22-$B$23))</f>
        <v>47.9602040816327</v>
      </c>
      <c r="J49" s="41" t="n">
        <f aca="false">IF(ISNUMBER(I49),I49*$B$23,0)</f>
        <v>14.3880612244898</v>
      </c>
    </row>
    <row r="50" customFormat="false" ht="15" hidden="false" customHeight="false" outlineLevel="0" collapsed="false">
      <c r="A50" s="47" t="n">
        <f aca="false">Cores!A7</f>
        <v>3</v>
      </c>
      <c r="B50" s="47" t="str">
        <f aca="false">Cores!B7</f>
        <v>Branco brilhante</v>
      </c>
      <c r="C50" s="48" t="n">
        <f aca="false">Cores!N7</f>
        <v>10.1727272727273</v>
      </c>
      <c r="D50" s="41" t="n">
        <f aca="false">C50*(1+$B$20)</f>
        <v>11.19</v>
      </c>
      <c r="E50" s="41" t="n">
        <f aca="false">D50+$B$17+$B$18</f>
        <v>22.19</v>
      </c>
      <c r="F50" s="41" t="n">
        <f aca="false">E50*0.5+$B$15</f>
        <v>15.595</v>
      </c>
      <c r="G50" s="51" t="n">
        <f aca="false">IF((1-$B$21-$B$22-$B$23)&lt;=0,"inviável",F50/(1-$B$21-$B$22-$B$23))</f>
        <v>31.8265306122449</v>
      </c>
      <c r="H50" s="41" t="n">
        <f aca="false">E50+$B$16</f>
        <v>28.69</v>
      </c>
      <c r="I50" s="51" t="n">
        <f aca="false">IF((1-$B$21-$B$22-$B$23)&lt;=0,"inviável",H50/(1-$B$21-$B$22-$B$23))</f>
        <v>58.5510204081633</v>
      </c>
      <c r="J50" s="41" t="n">
        <f aca="false">IF(ISNUMBER(I50),I50*$B$23,0)</f>
        <v>17.565306122449</v>
      </c>
    </row>
    <row r="51" customFormat="false" ht="15" hidden="false" customHeight="false" outlineLevel="0" collapsed="false">
      <c r="A51" s="47" t="n">
        <f aca="false">Cores!A8</f>
        <v>4</v>
      </c>
      <c r="B51" s="47" t="str">
        <f aca="false">Cores!B8</f>
        <v>Branco acetinado</v>
      </c>
      <c r="C51" s="48" t="n">
        <f aca="false">Cores!N8</f>
        <v>6.90277777777778</v>
      </c>
      <c r="D51" s="41" t="n">
        <f aca="false">C51*(1+$B$20)</f>
        <v>7.59305555555556</v>
      </c>
      <c r="E51" s="41" t="n">
        <f aca="false">D51+$B$17+$B$18</f>
        <v>18.5930555555556</v>
      </c>
      <c r="F51" s="41" t="n">
        <f aca="false">E51*0.5+$B$15</f>
        <v>13.7965277777778</v>
      </c>
      <c r="G51" s="51" t="n">
        <f aca="false">IF((1-$B$21-$B$22-$B$23)&lt;=0,"inviável",F51/(1-$B$21-$B$22-$B$23))</f>
        <v>28.156179138322</v>
      </c>
      <c r="H51" s="41" t="n">
        <f aca="false">E51+$B$16</f>
        <v>25.0930555555556</v>
      </c>
      <c r="I51" s="51" t="n">
        <f aca="false">IF((1-$B$21-$B$22-$B$23)&lt;=0,"inviável",H51/(1-$B$21-$B$22-$B$23))</f>
        <v>51.2103174603175</v>
      </c>
      <c r="J51" s="41" t="n">
        <f aca="false">IF(ISNUMBER(I51),I51*$B$23,0)</f>
        <v>15.3630952380952</v>
      </c>
    </row>
    <row r="52" customFormat="false" ht="15" hidden="false" customHeight="false" outlineLevel="0" collapsed="false">
      <c r="A52" s="47" t="n">
        <f aca="false">Cores!A9</f>
        <v>5</v>
      </c>
      <c r="B52" s="47" t="str">
        <f aca="false">Cores!B9</f>
        <v>Preto brilhante</v>
      </c>
      <c r="C52" s="48" t="n">
        <f aca="false">Cores!N9</f>
        <v>22.1495327102804</v>
      </c>
      <c r="D52" s="41" t="n">
        <f aca="false">C52*(1+$B$20)</f>
        <v>24.3644859813084</v>
      </c>
      <c r="E52" s="41" t="n">
        <f aca="false">D52+$B$17+$B$18</f>
        <v>35.3644859813084</v>
      </c>
      <c r="F52" s="41" t="n">
        <f aca="false">E52*0.5+$B$15</f>
        <v>22.1822429906542</v>
      </c>
      <c r="G52" s="51" t="n">
        <f aca="false">IF((1-$B$21-$B$22-$B$23)&lt;=0,"inviável",F52/(1-$B$21-$B$22-$B$23))</f>
        <v>45.2698836543963</v>
      </c>
      <c r="H52" s="41" t="n">
        <f aca="false">E52+$B$16</f>
        <v>41.8644859813084</v>
      </c>
      <c r="I52" s="51" t="n">
        <f aca="false">IF((1-$B$21-$B$22-$B$23)&lt;=0,"inviável",H52/(1-$B$21-$B$22-$B$23))</f>
        <v>85.4377264924662</v>
      </c>
      <c r="J52" s="41" t="n">
        <f aca="false">IF(ISNUMBER(I52),I52*$B$23,0)</f>
        <v>25.6313179477398</v>
      </c>
    </row>
    <row r="53" customFormat="false" ht="15" hidden="false" customHeight="false" outlineLevel="0" collapsed="false">
      <c r="A53" s="47" t="n">
        <f aca="false">Cores!A10</f>
        <v>6</v>
      </c>
      <c r="B53" s="47" t="str">
        <f aca="false">Cores!B10</f>
        <v>Tenmoku</v>
      </c>
      <c r="C53" s="48" t="n">
        <f aca="false">Cores!N10</f>
        <v>6.65</v>
      </c>
      <c r="D53" s="41" t="n">
        <f aca="false">C53*(1+$B$20)</f>
        <v>7.315</v>
      </c>
      <c r="E53" s="41" t="n">
        <f aca="false">D53+$B$17+$B$18</f>
        <v>18.315</v>
      </c>
      <c r="F53" s="41" t="n">
        <f aca="false">E53*0.5+$B$15</f>
        <v>13.6575</v>
      </c>
      <c r="G53" s="51" t="n">
        <f aca="false">IF((1-$B$21-$B$22-$B$23)&lt;=0,"inviável",F53/(1-$B$21-$B$22-$B$23))</f>
        <v>27.8724489795918</v>
      </c>
      <c r="H53" s="41" t="n">
        <f aca="false">E53+$B$16</f>
        <v>24.815</v>
      </c>
      <c r="I53" s="51" t="n">
        <f aca="false">IF((1-$B$21-$B$22-$B$23)&lt;=0,"inviável",H53/(1-$B$21-$B$22-$B$23))</f>
        <v>50.6428571428571</v>
      </c>
      <c r="J53" s="41" t="n">
        <f aca="false">IF(ISNUMBER(I53),I53*$B$23,0)</f>
        <v>15.1928571428571</v>
      </c>
    </row>
    <row r="54" customFormat="false" ht="15" hidden="false" customHeight="false" outlineLevel="0" collapsed="false">
      <c r="A54" s="47" t="n">
        <f aca="false">Cores!A11</f>
        <v>7</v>
      </c>
      <c r="B54" s="47" t="str">
        <f aca="false">Cores!B11</f>
        <v>Celadon verde</v>
      </c>
      <c r="C54" s="48" t="n">
        <f aca="false">Cores!N11</f>
        <v>6.40394088669951</v>
      </c>
      <c r="D54" s="41" t="n">
        <f aca="false">C54*(1+$B$20)</f>
        <v>7.04433497536946</v>
      </c>
      <c r="E54" s="41" t="n">
        <f aca="false">D54+$B$17+$B$18</f>
        <v>18.0443349753695</v>
      </c>
      <c r="F54" s="41" t="n">
        <f aca="false">E54*0.5+$B$15</f>
        <v>13.5221674876847</v>
      </c>
      <c r="G54" s="51" t="n">
        <f aca="false">IF((1-$B$21-$B$22-$B$23)&lt;=0,"inviável",F54/(1-$B$21-$B$22-$B$23))</f>
        <v>27.5962601789484</v>
      </c>
      <c r="H54" s="41" t="n">
        <f aca="false">E54+$B$16</f>
        <v>24.5443349753695</v>
      </c>
      <c r="I54" s="51" t="n">
        <f aca="false">IF((1-$B$21-$B$22-$B$23)&lt;=0,"inviável",H54/(1-$B$21-$B$22-$B$23))</f>
        <v>50.0904795415703</v>
      </c>
      <c r="J54" s="41" t="n">
        <f aca="false">IF(ISNUMBER(I54),I54*$B$23,0)</f>
        <v>15.0271438624711</v>
      </c>
    </row>
    <row r="55" customFormat="false" ht="15" hidden="false" customHeight="false" outlineLevel="0" collapsed="false">
      <c r="A55" s="47" t="n">
        <f aca="false">Cores!A12</f>
        <v>8</v>
      </c>
      <c r="B55" s="47" t="str">
        <f aca="false">Cores!B12</f>
        <v>Celadon azul</v>
      </c>
      <c r="C55" s="48" t="n">
        <f aca="false">Cores!N12</f>
        <v>7.22057368941642</v>
      </c>
      <c r="D55" s="41" t="n">
        <f aca="false">C55*(1+$B$20)</f>
        <v>7.94263105835806</v>
      </c>
      <c r="E55" s="41" t="n">
        <f aca="false">D55+$B$17+$B$18</f>
        <v>18.9426310583581</v>
      </c>
      <c r="F55" s="41" t="n">
        <f aca="false">E55*0.5+$B$15</f>
        <v>13.971315529179</v>
      </c>
      <c r="G55" s="51" t="n">
        <f aca="false">IF((1-$B$21-$B$22-$B$23)&lt;=0,"inviável",F55/(1-$B$21-$B$22-$B$23))</f>
        <v>28.5128888350593</v>
      </c>
      <c r="H55" s="41" t="n">
        <f aca="false">E55+$B$16</f>
        <v>25.4426310583581</v>
      </c>
      <c r="I55" s="51" t="n">
        <f aca="false">IF((1-$B$21-$B$22-$B$23)&lt;=0,"inviável",H55/(1-$B$21-$B$22-$B$23))</f>
        <v>51.923736853792</v>
      </c>
      <c r="J55" s="41" t="n">
        <f aca="false">IF(ISNUMBER(I55),I55*$B$23,0)</f>
        <v>15.5771210561376</v>
      </c>
    </row>
    <row r="56" customFormat="false" ht="15" hidden="false" customHeight="false" outlineLevel="0" collapsed="false">
      <c r="A56" s="47" t="n">
        <f aca="false">Cores!A13</f>
        <v>9</v>
      </c>
      <c r="B56" s="47" t="str">
        <f aca="false">Cores!B13</f>
        <v>Rutilo mel</v>
      </c>
      <c r="C56" s="48" t="n">
        <f aca="false">Cores!N13</f>
        <v>13.4583333333333</v>
      </c>
      <c r="D56" s="41" t="n">
        <f aca="false">C56*(1+$B$20)</f>
        <v>14.8041666666667</v>
      </c>
      <c r="E56" s="41" t="n">
        <f aca="false">D56+$B$17+$B$18</f>
        <v>25.8041666666667</v>
      </c>
      <c r="F56" s="41" t="n">
        <f aca="false">E56*0.5+$B$15</f>
        <v>17.4020833333333</v>
      </c>
      <c r="G56" s="51" t="n">
        <f aca="false">IF((1-$B$21-$B$22-$B$23)&lt;=0,"inviável",F56/(1-$B$21-$B$22-$B$23))</f>
        <v>35.5144557823129</v>
      </c>
      <c r="H56" s="41" t="n">
        <f aca="false">E56+$B$16</f>
        <v>32.3041666666667</v>
      </c>
      <c r="I56" s="51" t="n">
        <f aca="false">IF((1-$B$21-$B$22-$B$23)&lt;=0,"inviável",H56/(1-$B$21-$B$22-$B$23))</f>
        <v>65.9268707482993</v>
      </c>
      <c r="J56" s="41" t="n">
        <f aca="false">IF(ISNUMBER(I56),I56*$B$23,0)</f>
        <v>19.7780612244898</v>
      </c>
    </row>
    <row r="57" customFormat="false" ht="15" hidden="false" customHeight="false" outlineLevel="0" collapsed="false">
      <c r="A57" s="47" t="n">
        <f aca="false">Cores!A14</f>
        <v>10</v>
      </c>
      <c r="B57" s="47" t="str">
        <f aca="false">Cores!B14</f>
        <v>Creme pintalgado</v>
      </c>
      <c r="C57" s="48" t="n">
        <f aca="false">Cores!N14</f>
        <v>11.6018735362998</v>
      </c>
      <c r="D57" s="41" t="n">
        <f aca="false">C57*(1+$B$20)</f>
        <v>12.7620608899297</v>
      </c>
      <c r="E57" s="41" t="n">
        <f aca="false">D57+$B$17+$B$18</f>
        <v>23.7620608899297</v>
      </c>
      <c r="F57" s="41" t="n">
        <f aca="false">E57*0.5+$B$15</f>
        <v>16.3810304449649</v>
      </c>
      <c r="G57" s="51" t="n">
        <f aca="false">IF((1-$B$21-$B$22-$B$23)&lt;=0,"inviável",F57/(1-$B$21-$B$22-$B$23))</f>
        <v>33.4306743774793</v>
      </c>
      <c r="H57" s="41" t="n">
        <f aca="false">E57+$B$16</f>
        <v>30.2620608899297</v>
      </c>
      <c r="I57" s="51" t="n">
        <f aca="false">IF((1-$B$21-$B$22-$B$23)&lt;=0,"inviável",H57/(1-$B$21-$B$22-$B$23))</f>
        <v>61.7593079386321</v>
      </c>
      <c r="J57" s="41" t="n">
        <f aca="false">IF(ISNUMBER(I57),I57*$B$23,0)</f>
        <v>18.5277923815896</v>
      </c>
    </row>
    <row r="58" customFormat="false" ht="15" hidden="false" customHeight="false" outlineLevel="0" collapsed="false">
      <c r="A58" s="47" t="n">
        <f aca="false">Cores!A15</f>
        <v>11</v>
      </c>
      <c r="B58" s="47" t="str">
        <f aca="false">Cores!B15</f>
        <v>Azul cobalto</v>
      </c>
      <c r="C58" s="48" t="n">
        <f aca="false">Cores!N15</f>
        <v>15.049504950495</v>
      </c>
      <c r="D58" s="41" t="n">
        <f aca="false">C58*(1+$B$20)</f>
        <v>16.5544554455446</v>
      </c>
      <c r="E58" s="41" t="n">
        <f aca="false">D58+$B$17+$B$18</f>
        <v>27.5544554455446</v>
      </c>
      <c r="F58" s="41" t="n">
        <f aca="false">E58*0.5+$B$15</f>
        <v>18.2772277227723</v>
      </c>
      <c r="G58" s="51" t="n">
        <f aca="false">IF((1-$B$21-$B$22-$B$23)&lt;=0,"inviável",F58/(1-$B$21-$B$22-$B$23))</f>
        <v>37.3004647403516</v>
      </c>
      <c r="H58" s="41" t="n">
        <f aca="false">E58+$B$16</f>
        <v>34.0544554455446</v>
      </c>
      <c r="I58" s="51" t="n">
        <f aca="false">IF((1-$B$21-$B$22-$B$23)&lt;=0,"inviável",H58/(1-$B$21-$B$22-$B$23))</f>
        <v>69.4988886643767</v>
      </c>
      <c r="J58" s="41" t="n">
        <f aca="false">IF(ISNUMBER(I58),I58*$B$23,0)</f>
        <v>20.849666599313</v>
      </c>
    </row>
    <row r="59" customFormat="false" ht="15" hidden="false" customHeight="false" outlineLevel="0" collapsed="false">
      <c r="A59" s="47" t="n">
        <f aca="false">Cores!A16</f>
        <v>12</v>
      </c>
      <c r="B59" s="47" t="str">
        <f aca="false">Cores!B16</f>
        <v>Turquesa</v>
      </c>
      <c r="C59" s="48" t="n">
        <f aca="false">Cores!N16</f>
        <v>12.1365853658537</v>
      </c>
      <c r="D59" s="41" t="n">
        <f aca="false">C59*(1+$B$20)</f>
        <v>13.350243902439</v>
      </c>
      <c r="E59" s="41" t="n">
        <f aca="false">D59+$B$17+$B$18</f>
        <v>24.350243902439</v>
      </c>
      <c r="F59" s="41" t="n">
        <f aca="false">E59*0.5+$B$15</f>
        <v>16.6751219512195</v>
      </c>
      <c r="G59" s="51" t="n">
        <f aca="false">IF((1-$B$21-$B$22-$B$23)&lt;=0,"inviável",F59/(1-$B$21-$B$22-$B$23))</f>
        <v>34.0308611249378</v>
      </c>
      <c r="H59" s="41" t="n">
        <f aca="false">E59+$B$16</f>
        <v>30.850243902439</v>
      </c>
      <c r="I59" s="51" t="n">
        <f aca="false">IF((1-$B$21-$B$22-$B$23)&lt;=0,"inviável",H59/(1-$B$21-$B$22-$B$23))</f>
        <v>62.959681433549</v>
      </c>
      <c r="J59" s="41" t="n">
        <f aca="false">IF(ISNUMBER(I59),I59*$B$23,0)</f>
        <v>18.8879044300647</v>
      </c>
    </row>
    <row r="60" customFormat="false" ht="15" hidden="false" customHeight="false" outlineLevel="0" collapsed="false">
      <c r="A60" s="47" t="n">
        <f aca="false">Cores!A17</f>
        <v>13</v>
      </c>
      <c r="B60" s="47" t="str">
        <f aca="false">Cores!B17</f>
        <v>Amarelo</v>
      </c>
      <c r="C60" s="48" t="n">
        <f aca="false">Cores!N17</f>
        <v>24.2592592592593</v>
      </c>
      <c r="D60" s="41" t="n">
        <f aca="false">C60*(1+$B$20)</f>
        <v>26.6851851851852</v>
      </c>
      <c r="E60" s="41" t="n">
        <f aca="false">D60+$B$17+$B$18</f>
        <v>37.6851851851852</v>
      </c>
      <c r="F60" s="41" t="n">
        <f aca="false">E60*0.5+$B$15</f>
        <v>23.3425925925926</v>
      </c>
      <c r="G60" s="51" t="n">
        <f aca="false">IF((1-$B$21-$B$22-$B$23)&lt;=0,"inviável",F60/(1-$B$21-$B$22-$B$23))</f>
        <v>47.6379440665155</v>
      </c>
      <c r="H60" s="41" t="n">
        <f aca="false">E60+$B$16</f>
        <v>44.1851851851852</v>
      </c>
      <c r="I60" s="51" t="n">
        <f aca="false">IF((1-$B$21-$B$22-$B$23)&lt;=0,"inviável",H60/(1-$B$21-$B$22-$B$23))</f>
        <v>90.1738473167045</v>
      </c>
      <c r="J60" s="41" t="n">
        <f aca="false">IF(ISNUMBER(I60),I60*$B$23,0)</f>
        <v>27.0521541950113</v>
      </c>
    </row>
    <row r="61" customFormat="false" ht="15" hidden="false" customHeight="false" outlineLevel="0" collapsed="false">
      <c r="A61" s="47" t="n">
        <f aca="false">Cores!A18</f>
        <v>14</v>
      </c>
      <c r="B61" s="47" t="str">
        <f aca="false">Cores!B18</f>
        <v>Rosa coral</v>
      </c>
      <c r="C61" s="48" t="n">
        <f aca="false">Cores!N18</f>
        <v>24.9575471698113</v>
      </c>
      <c r="D61" s="41" t="n">
        <f aca="false">C61*(1+$B$20)</f>
        <v>27.4533018867925</v>
      </c>
      <c r="E61" s="41" t="n">
        <f aca="false">D61+$B$17+$B$18</f>
        <v>38.4533018867925</v>
      </c>
      <c r="F61" s="41" t="n">
        <f aca="false">E61*0.5+$B$15</f>
        <v>23.7266509433962</v>
      </c>
      <c r="G61" s="51" t="n">
        <f aca="false">IF((1-$B$21-$B$22-$B$23)&lt;=0,"inviável",F61/(1-$B$21-$B$22-$B$23))</f>
        <v>48.421736619176</v>
      </c>
      <c r="H61" s="41" t="n">
        <f aca="false">E61+$B$16</f>
        <v>44.9533018867925</v>
      </c>
      <c r="I61" s="51" t="n">
        <f aca="false">IF((1-$B$21-$B$22-$B$23)&lt;=0,"inviável",H61/(1-$B$21-$B$22-$B$23))</f>
        <v>91.7414324220254</v>
      </c>
      <c r="J61" s="41" t="n">
        <f aca="false">IF(ISNUMBER(I61),I61*$B$23,0)</f>
        <v>27.5224297266076</v>
      </c>
    </row>
    <row r="62" customFormat="false" ht="15" hidden="false" customHeight="false" outlineLevel="0" collapsed="false">
      <c r="A62" s="47" t="n">
        <f aca="false">Cores!A19</f>
        <v>15</v>
      </c>
      <c r="B62" s="47" t="str">
        <f aca="false">Cores!B19</f>
        <v>Ferrugem</v>
      </c>
      <c r="C62" s="48" t="n">
        <f aca="false">Cores!N19</f>
        <v>6.27570093457944</v>
      </c>
      <c r="D62" s="41" t="n">
        <f aca="false">C62*(1+$B$20)</f>
        <v>6.90327102803738</v>
      </c>
      <c r="E62" s="41" t="n">
        <f aca="false">D62+$B$17+$B$18</f>
        <v>17.9032710280374</v>
      </c>
      <c r="F62" s="41" t="n">
        <f aca="false">E62*0.5+$B$15</f>
        <v>13.4516355140187</v>
      </c>
      <c r="G62" s="51" t="n">
        <f aca="false">IF((1-$B$21-$B$22-$B$23)&lt;=0,"inviável",F62/(1-$B$21-$B$22-$B$23))</f>
        <v>27.4523173755484</v>
      </c>
      <c r="H62" s="41" t="n">
        <f aca="false">E62+$B$16</f>
        <v>24.4032710280374</v>
      </c>
      <c r="I62" s="51" t="n">
        <f aca="false">IF((1-$B$21-$B$22-$B$23)&lt;=0,"inviável",H62/(1-$B$21-$B$22-$B$23))</f>
        <v>49.8025939347702</v>
      </c>
      <c r="J62" s="41" t="n">
        <f aca="false">IF(ISNUMBER(I62),I62*$B$23,0)</f>
        <v>14.9407781804311</v>
      </c>
    </row>
    <row r="63" customFormat="false" ht="15" hidden="false" customHeight="false" outlineLevel="0" collapsed="false">
      <c r="A63" s="47" t="n">
        <f aca="false">Cores!A20</f>
        <v>16</v>
      </c>
      <c r="B63" s="47" t="str">
        <f aca="false">Cores!B20</f>
        <v>Azul flutuante</v>
      </c>
      <c r="C63" s="48" t="n">
        <f aca="false">Cores!N20</f>
        <v>20.5</v>
      </c>
      <c r="D63" s="41" t="n">
        <f aca="false">C63*(1+$B$20)</f>
        <v>22.55</v>
      </c>
      <c r="E63" s="41" t="n">
        <f aca="false">D63+$B$17+$B$18</f>
        <v>33.55</v>
      </c>
      <c r="F63" s="41" t="n">
        <f aca="false">E63*0.5+$B$15</f>
        <v>21.275</v>
      </c>
      <c r="G63" s="51" t="n">
        <f aca="false">IF((1-$B$21-$B$22-$B$23)&lt;=0,"inviável",F63/(1-$B$21-$B$22-$B$23))</f>
        <v>43.4183673469388</v>
      </c>
      <c r="H63" s="41" t="n">
        <f aca="false">E63+$B$16</f>
        <v>40.05</v>
      </c>
      <c r="I63" s="51" t="n">
        <f aca="false">IF((1-$B$21-$B$22-$B$23)&lt;=0,"inviável",H63/(1-$B$21-$B$22-$B$23))</f>
        <v>81.734693877551</v>
      </c>
      <c r="J63" s="41" t="n">
        <f aca="false">IF(ISNUMBER(I63),I63*$B$23,0)</f>
        <v>24.5204081632653</v>
      </c>
    </row>
    <row r="64" customFormat="false" ht="15" hidden="false" customHeight="false" outlineLevel="0" collapsed="false">
      <c r="A64" s="47" t="n">
        <f aca="false">Cores!A21</f>
        <v>17</v>
      </c>
      <c r="B64" s="47" t="str">
        <f aca="false">Cores!B21</f>
        <v>Imitação de cinza</v>
      </c>
      <c r="C64" s="48" t="n">
        <f aca="false">Cores!N21</f>
        <v>11.7699530516432</v>
      </c>
      <c r="D64" s="41" t="n">
        <f aca="false">C64*(1+$B$20)</f>
        <v>12.9469483568075</v>
      </c>
      <c r="E64" s="41" t="n">
        <f aca="false">D64+$B$17+$B$18</f>
        <v>23.9469483568075</v>
      </c>
      <c r="F64" s="41" t="n">
        <f aca="false">E64*0.5+$B$15</f>
        <v>16.4734741784038</v>
      </c>
      <c r="G64" s="51" t="n">
        <f aca="false">IF((1-$B$21-$B$22-$B$23)&lt;=0,"inviável",F64/(1-$B$21-$B$22-$B$23))</f>
        <v>33.6193350579669</v>
      </c>
      <c r="H64" s="41" t="n">
        <f aca="false">E64+$B$16</f>
        <v>30.4469483568075</v>
      </c>
      <c r="I64" s="51" t="n">
        <f aca="false">IF((1-$B$21-$B$22-$B$23)&lt;=0,"inviável",H64/(1-$B$21-$B$22-$B$23))</f>
        <v>62.1366292996072</v>
      </c>
      <c r="J64" s="41" t="n">
        <f aca="false">IF(ISNUMBER(I64),I64*$B$23,0)</f>
        <v>18.6409887898822</v>
      </c>
    </row>
    <row r="65" customFormat="false" ht="15" hidden="false" customHeight="false" outlineLevel="0" collapsed="false">
      <c r="A65" s="2"/>
      <c r="B65" s="5" t="s">
        <v>264</v>
      </c>
      <c r="C65" s="31" t="n">
        <f aca="false">AVERAGE(C48:C64)</f>
        <v>12.4213711728339</v>
      </c>
      <c r="D65" s="31" t="n">
        <f aca="false">AVERAGE(D48:D64)</f>
        <v>13.6635082901173</v>
      </c>
      <c r="E65" s="31" t="n">
        <f aca="false">AVERAGE(E48:E64)</f>
        <v>24.6635082901173</v>
      </c>
      <c r="F65" s="31" t="n">
        <f aca="false">AVERAGE(F48:F64)</f>
        <v>16.8317541450586</v>
      </c>
      <c r="G65" s="31" t="n">
        <f aca="false">AVERAGE(G48:G64)</f>
        <v>34.350518663385</v>
      </c>
      <c r="H65" s="31" t="n">
        <f aca="false">AVERAGE(H48:H64)</f>
        <v>31.1635082901173</v>
      </c>
      <c r="I65" s="31" t="n">
        <f aca="false">AVERAGE(I48:I64)</f>
        <v>63.5989965104435</v>
      </c>
      <c r="J65" s="31" t="n">
        <f aca="false">AVERAGE(J48:J64)</f>
        <v>19.079698953133</v>
      </c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customFormat="false" ht="15" hidden="false" customHeight="false" outlineLevel="0" collapsed="false">
      <c r="A67" s="3" t="s">
        <v>274</v>
      </c>
      <c r="B67" s="2"/>
      <c r="C67" s="2"/>
      <c r="D67" s="2"/>
      <c r="E67" s="2"/>
      <c r="F67" s="2"/>
      <c r="G67" s="2"/>
      <c r="H67" s="2"/>
      <c r="I67" s="2"/>
      <c r="J67" s="2"/>
    </row>
  </sheetData>
  <conditionalFormatting sqref="G27:G43">
    <cfRule type="expression" priority="2" aboveAverage="0" equalAverage="0" bottom="0" percent="0" rank="0" text="" dxfId="1">
      <formula>G27&lt;$B$23</formula>
    </cfRule>
    <cfRule type="expression" priority="3" aboveAverage="0" equalAverage="0" bottom="0" percent="0" rank="0" text="" dxfId="0">
      <formula>G27&gt;=$B$23</formula>
    </cfRule>
  </conditionalFormatting>
  <conditionalFormatting sqref="J27:J43">
    <cfRule type="expression" priority="4" aboveAverage="0" equalAverage="0" bottom="0" percent="0" rank="0" text="" dxfId="1">
      <formula>J27&lt;$B$23</formula>
    </cfRule>
    <cfRule type="expression" priority="5" aboveAverage="0" equalAverage="0" bottom="0" percent="0" rank="0" text="" dxfId="0">
      <formula>J27&gt;=$B$23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4" min="3" style="0" width="7"/>
    <col collapsed="false" customWidth="true" hidden="false" outlineLevel="0" max="5" min="5" style="0" width="22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7"/>
    <col collapsed="false" customWidth="true" hidden="false" outlineLevel="0" max="11" min="9" style="0" width="10"/>
    <col collapsed="false" customWidth="true" hidden="false" outlineLevel="0" max="14" min="12" style="0" width="11"/>
    <col collapsed="false" customWidth="true" hidden="false" outlineLevel="0" max="15" min="15" style="0" width="12"/>
    <col collapsed="false" customWidth="true" hidden="false" outlineLevel="0" max="17" min="16" style="0" width="11"/>
    <col collapsed="false" customWidth="true" hidden="false" outlineLevel="0" max="18" min="18" style="0" width="22"/>
    <col collapsed="false" customWidth="true" hidden="false" outlineLevel="0" max="19" min="19" style="0" width="40"/>
  </cols>
  <sheetData>
    <row r="1" customFormat="false" ht="17.35" hidden="false" customHeight="false" outlineLevel="0" collapsed="false">
      <c r="A1" s="1" t="s">
        <v>275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" hidden="false" customHeight="false" outlineLevel="0" collapsed="false">
      <c r="A2" s="3" t="s">
        <v>276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42" hidden="false" customHeight="true" outlineLevel="0" collapsed="false">
      <c r="A4" s="12" t="s">
        <v>277</v>
      </c>
      <c r="B4" s="12" t="s">
        <v>278</v>
      </c>
      <c r="C4" s="12" t="s">
        <v>279</v>
      </c>
      <c r="D4" s="12" t="s">
        <v>280</v>
      </c>
      <c r="E4" s="12" t="s">
        <v>255</v>
      </c>
      <c r="F4" s="12" t="s">
        <v>281</v>
      </c>
      <c r="G4" s="12" t="s">
        <v>282</v>
      </c>
      <c r="H4" s="12" t="s">
        <v>283</v>
      </c>
      <c r="I4" s="12" t="s">
        <v>284</v>
      </c>
      <c r="J4" s="12" t="s">
        <v>285</v>
      </c>
      <c r="K4" s="12" t="s">
        <v>286</v>
      </c>
      <c r="L4" s="12" t="s">
        <v>287</v>
      </c>
      <c r="M4" s="12" t="s">
        <v>288</v>
      </c>
      <c r="N4" s="12" t="s">
        <v>289</v>
      </c>
      <c r="O4" s="12" t="s">
        <v>290</v>
      </c>
      <c r="P4" s="12" t="s">
        <v>291</v>
      </c>
      <c r="Q4" s="12" t="s">
        <v>292</v>
      </c>
      <c r="R4" s="12" t="s">
        <v>293</v>
      </c>
      <c r="S4" s="12" t="s">
        <v>163</v>
      </c>
    </row>
    <row r="5" customFormat="false" ht="15" hidden="false" customHeight="false" outlineLevel="0" collapsed="false">
      <c r="A5" s="52" t="n">
        <v>1</v>
      </c>
      <c r="B5" s="53" t="s">
        <v>294</v>
      </c>
      <c r="C5" s="53" t="s">
        <v>295</v>
      </c>
      <c r="D5" s="54" t="n">
        <v>1</v>
      </c>
      <c r="E5" s="55" t="str">
        <f aca="false">IFERROR(INDEX(Cores!$B$5:$B$21,MATCH(D5,Cores!$A$5:$A$21,0)),"")</f>
        <v>Transparente brilhante</v>
      </c>
      <c r="F5" s="54" t="s">
        <v>296</v>
      </c>
      <c r="G5" s="54" t="s">
        <v>297</v>
      </c>
      <c r="H5" s="54" t="s">
        <v>298</v>
      </c>
      <c r="I5" s="53" t="s">
        <v>186</v>
      </c>
      <c r="J5" s="53" t="n">
        <v>1225</v>
      </c>
      <c r="K5" s="53" t="n">
        <v>4</v>
      </c>
      <c r="L5" s="53" t="s">
        <v>299</v>
      </c>
      <c r="M5" s="53" t="s">
        <v>300</v>
      </c>
      <c r="N5" s="53" t="s">
        <v>300</v>
      </c>
      <c r="O5" s="53" t="s">
        <v>300</v>
      </c>
      <c r="P5" s="53" t="s">
        <v>300</v>
      </c>
      <c r="Q5" s="53" t="s">
        <v>301</v>
      </c>
      <c r="R5" s="53" t="s">
        <v>302</v>
      </c>
      <c r="S5" s="53" t="s">
        <v>303</v>
      </c>
    </row>
    <row r="6" customFormat="false" ht="15" hidden="false" customHeight="false" outlineLevel="0" collapsed="false">
      <c r="A6" s="30" t="n">
        <v>2</v>
      </c>
      <c r="B6" s="13"/>
      <c r="C6" s="13"/>
      <c r="D6" s="13" t="n">
        <v>1</v>
      </c>
      <c r="E6" s="47" t="str">
        <f aca="false">IFERROR(INDEX(Cores!$B$5:$B$21,MATCH(D6,Cores!$A$5:$A$21,0)),"")</f>
        <v>Transparente brilhante</v>
      </c>
      <c r="F6" s="13" t="s">
        <v>296</v>
      </c>
      <c r="G6" s="13" t="s">
        <v>297</v>
      </c>
      <c r="H6" s="13" t="s">
        <v>304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</row>
    <row r="7" customFormat="false" ht="15" hidden="false" customHeight="false" outlineLevel="0" collapsed="false">
      <c r="A7" s="30" t="n">
        <v>3</v>
      </c>
      <c r="B7" s="13"/>
      <c r="C7" s="13"/>
      <c r="D7" s="13" t="n">
        <v>1</v>
      </c>
      <c r="E7" s="47" t="str">
        <f aca="false">IFERROR(INDEX(Cores!$B$5:$B$21,MATCH(D7,Cores!$A$5:$A$21,0)),"")</f>
        <v>Transparente brilhante</v>
      </c>
      <c r="F7" s="13" t="s">
        <v>296</v>
      </c>
      <c r="G7" s="13" t="s">
        <v>305</v>
      </c>
      <c r="H7" s="13" t="s">
        <v>298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</row>
    <row r="8" customFormat="false" ht="15" hidden="false" customHeight="false" outlineLevel="0" collapsed="false">
      <c r="A8" s="30" t="n">
        <v>4</v>
      </c>
      <c r="B8" s="13"/>
      <c r="C8" s="13"/>
      <c r="D8" s="13" t="n">
        <v>1</v>
      </c>
      <c r="E8" s="47" t="str">
        <f aca="false">IFERROR(INDEX(Cores!$B$5:$B$21,MATCH(D8,Cores!$A$5:$A$21,0)),"")</f>
        <v>Transparente brilhante</v>
      </c>
      <c r="F8" s="13" t="s">
        <v>296</v>
      </c>
      <c r="G8" s="13" t="s">
        <v>305</v>
      </c>
      <c r="H8" s="13" t="s">
        <v>304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</row>
    <row r="9" customFormat="false" ht="15" hidden="false" customHeight="false" outlineLevel="0" collapsed="false">
      <c r="A9" s="30" t="n">
        <v>5</v>
      </c>
      <c r="B9" s="13"/>
      <c r="C9" s="13"/>
      <c r="D9" s="13" t="n">
        <v>1</v>
      </c>
      <c r="E9" s="47" t="str">
        <f aca="false">IFERROR(INDEX(Cores!$B$5:$B$21,MATCH(D9,Cores!$A$5:$A$21,0)),"")</f>
        <v>Transparente brilhante</v>
      </c>
      <c r="F9" s="13" t="s">
        <v>306</v>
      </c>
      <c r="G9" s="13" t="s">
        <v>297</v>
      </c>
      <c r="H9" s="13" t="s">
        <v>298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</row>
    <row r="10" customFormat="false" ht="15" hidden="false" customHeight="false" outlineLevel="0" collapsed="false">
      <c r="A10" s="30" t="n">
        <v>6</v>
      </c>
      <c r="B10" s="13"/>
      <c r="C10" s="13"/>
      <c r="D10" s="13" t="n">
        <v>1</v>
      </c>
      <c r="E10" s="47" t="str">
        <f aca="false">IFERROR(INDEX(Cores!$B$5:$B$21,MATCH(D10,Cores!$A$5:$A$21,0)),"")</f>
        <v>Transparente brilhante</v>
      </c>
      <c r="F10" s="13" t="s">
        <v>306</v>
      </c>
      <c r="G10" s="13" t="s">
        <v>297</v>
      </c>
      <c r="H10" s="13" t="s">
        <v>304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 customFormat="false" ht="15" hidden="false" customHeight="false" outlineLevel="0" collapsed="false">
      <c r="A11" s="30" t="n">
        <v>7</v>
      </c>
      <c r="B11" s="13"/>
      <c r="C11" s="13"/>
      <c r="D11" s="13" t="n">
        <v>1</v>
      </c>
      <c r="E11" s="47" t="str">
        <f aca="false">IFERROR(INDEX(Cores!$B$5:$B$21,MATCH(D11,Cores!$A$5:$A$21,0)),"")</f>
        <v>Transparente brilhante</v>
      </c>
      <c r="F11" s="13" t="s">
        <v>306</v>
      </c>
      <c r="G11" s="13" t="s">
        <v>305</v>
      </c>
      <c r="H11" s="13" t="s">
        <v>298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customFormat="false" ht="15" hidden="false" customHeight="false" outlineLevel="0" collapsed="false">
      <c r="A12" s="30" t="n">
        <v>8</v>
      </c>
      <c r="B12" s="13"/>
      <c r="C12" s="13"/>
      <c r="D12" s="13" t="n">
        <v>1</v>
      </c>
      <c r="E12" s="47" t="str">
        <f aca="false">IFERROR(INDEX(Cores!$B$5:$B$21,MATCH(D12,Cores!$A$5:$A$21,0)),"")</f>
        <v>Transparente brilhante</v>
      </c>
      <c r="F12" s="13" t="s">
        <v>306</v>
      </c>
      <c r="G12" s="13" t="s">
        <v>305</v>
      </c>
      <c r="H12" s="13" t="s">
        <v>304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customFormat="false" ht="15" hidden="false" customHeight="false" outlineLevel="0" collapsed="false">
      <c r="A13" s="30" t="n">
        <v>9</v>
      </c>
      <c r="B13" s="13"/>
      <c r="C13" s="13"/>
      <c r="D13" s="13" t="n">
        <v>2</v>
      </c>
      <c r="E13" s="47" t="str">
        <f aca="false">IFERROR(INDEX(Cores!$B$5:$B$21,MATCH(D13,Cores!$A$5:$A$21,0)),"")</f>
        <v>Transparente mate</v>
      </c>
      <c r="F13" s="13" t="s">
        <v>296</v>
      </c>
      <c r="G13" s="13" t="s">
        <v>297</v>
      </c>
      <c r="H13" s="13" t="s">
        <v>298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customFormat="false" ht="15" hidden="false" customHeight="false" outlineLevel="0" collapsed="false">
      <c r="A14" s="30" t="n">
        <v>10</v>
      </c>
      <c r="B14" s="13"/>
      <c r="C14" s="13"/>
      <c r="D14" s="13" t="n">
        <v>2</v>
      </c>
      <c r="E14" s="47" t="str">
        <f aca="false">IFERROR(INDEX(Cores!$B$5:$B$21,MATCH(D14,Cores!$A$5:$A$21,0)),"")</f>
        <v>Transparente mate</v>
      </c>
      <c r="F14" s="13" t="s">
        <v>296</v>
      </c>
      <c r="G14" s="13" t="s">
        <v>297</v>
      </c>
      <c r="H14" s="13" t="s">
        <v>304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 customFormat="false" ht="15" hidden="false" customHeight="false" outlineLevel="0" collapsed="false">
      <c r="A15" s="30" t="n">
        <v>11</v>
      </c>
      <c r="B15" s="13"/>
      <c r="C15" s="13"/>
      <c r="D15" s="13" t="n">
        <v>2</v>
      </c>
      <c r="E15" s="47" t="str">
        <f aca="false">IFERROR(INDEX(Cores!$B$5:$B$21,MATCH(D15,Cores!$A$5:$A$21,0)),"")</f>
        <v>Transparente mate</v>
      </c>
      <c r="F15" s="13" t="s">
        <v>296</v>
      </c>
      <c r="G15" s="13" t="s">
        <v>305</v>
      </c>
      <c r="H15" s="13" t="s">
        <v>298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customFormat="false" ht="15" hidden="false" customHeight="false" outlineLevel="0" collapsed="false">
      <c r="A16" s="30" t="n">
        <v>12</v>
      </c>
      <c r="B16" s="13"/>
      <c r="C16" s="13"/>
      <c r="D16" s="13" t="n">
        <v>2</v>
      </c>
      <c r="E16" s="47" t="str">
        <f aca="false">IFERROR(INDEX(Cores!$B$5:$B$21,MATCH(D16,Cores!$A$5:$A$21,0)),"")</f>
        <v>Transparente mate</v>
      </c>
      <c r="F16" s="13" t="s">
        <v>296</v>
      </c>
      <c r="G16" s="13" t="s">
        <v>305</v>
      </c>
      <c r="H16" s="13" t="s">
        <v>304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 customFormat="false" ht="15" hidden="false" customHeight="false" outlineLevel="0" collapsed="false">
      <c r="A17" s="30" t="n">
        <v>13</v>
      </c>
      <c r="B17" s="13"/>
      <c r="C17" s="13"/>
      <c r="D17" s="13" t="n">
        <v>2</v>
      </c>
      <c r="E17" s="47" t="str">
        <f aca="false">IFERROR(INDEX(Cores!$B$5:$B$21,MATCH(D17,Cores!$A$5:$A$21,0)),"")</f>
        <v>Transparente mate</v>
      </c>
      <c r="F17" s="13" t="s">
        <v>306</v>
      </c>
      <c r="G17" s="13" t="s">
        <v>297</v>
      </c>
      <c r="H17" s="13" t="s">
        <v>298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customFormat="false" ht="15" hidden="false" customHeight="false" outlineLevel="0" collapsed="false">
      <c r="A18" s="30" t="n">
        <v>14</v>
      </c>
      <c r="B18" s="13"/>
      <c r="C18" s="13"/>
      <c r="D18" s="13" t="n">
        <v>2</v>
      </c>
      <c r="E18" s="47" t="str">
        <f aca="false">IFERROR(INDEX(Cores!$B$5:$B$21,MATCH(D18,Cores!$A$5:$A$21,0)),"")</f>
        <v>Transparente mate</v>
      </c>
      <c r="F18" s="13" t="s">
        <v>306</v>
      </c>
      <c r="G18" s="13" t="s">
        <v>297</v>
      </c>
      <c r="H18" s="13" t="s">
        <v>304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 customFormat="false" ht="15" hidden="false" customHeight="false" outlineLevel="0" collapsed="false">
      <c r="A19" s="30" t="n">
        <v>15</v>
      </c>
      <c r="B19" s="13"/>
      <c r="C19" s="13"/>
      <c r="D19" s="13" t="n">
        <v>2</v>
      </c>
      <c r="E19" s="47" t="str">
        <f aca="false">IFERROR(INDEX(Cores!$B$5:$B$21,MATCH(D19,Cores!$A$5:$A$21,0)),"")</f>
        <v>Transparente mate</v>
      </c>
      <c r="F19" s="13" t="s">
        <v>306</v>
      </c>
      <c r="G19" s="13" t="s">
        <v>305</v>
      </c>
      <c r="H19" s="13" t="s">
        <v>298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 customFormat="false" ht="15" hidden="false" customHeight="false" outlineLevel="0" collapsed="false">
      <c r="A20" s="30" t="n">
        <v>16</v>
      </c>
      <c r="B20" s="13"/>
      <c r="C20" s="13"/>
      <c r="D20" s="13" t="n">
        <v>2</v>
      </c>
      <c r="E20" s="47" t="str">
        <f aca="false">IFERROR(INDEX(Cores!$B$5:$B$21,MATCH(D20,Cores!$A$5:$A$21,0)),"")</f>
        <v>Transparente mate</v>
      </c>
      <c r="F20" s="13" t="s">
        <v>306</v>
      </c>
      <c r="G20" s="13" t="s">
        <v>305</v>
      </c>
      <c r="H20" s="13" t="s">
        <v>304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 customFormat="false" ht="15" hidden="false" customHeight="false" outlineLevel="0" collapsed="false">
      <c r="A21" s="30" t="n">
        <v>17</v>
      </c>
      <c r="B21" s="13"/>
      <c r="C21" s="13"/>
      <c r="D21" s="13" t="n">
        <v>3</v>
      </c>
      <c r="E21" s="47" t="str">
        <f aca="false">IFERROR(INDEX(Cores!$B$5:$B$21,MATCH(D21,Cores!$A$5:$A$21,0)),"")</f>
        <v>Branco brilhante</v>
      </c>
      <c r="F21" s="13" t="s">
        <v>296</v>
      </c>
      <c r="G21" s="13" t="s">
        <v>297</v>
      </c>
      <c r="H21" s="13" t="s">
        <v>298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customFormat="false" ht="15" hidden="false" customHeight="false" outlineLevel="0" collapsed="false">
      <c r="A22" s="30" t="n">
        <v>18</v>
      </c>
      <c r="B22" s="13"/>
      <c r="C22" s="13"/>
      <c r="D22" s="13" t="n">
        <v>3</v>
      </c>
      <c r="E22" s="47" t="str">
        <f aca="false">IFERROR(INDEX(Cores!$B$5:$B$21,MATCH(D22,Cores!$A$5:$A$21,0)),"")</f>
        <v>Branco brilhante</v>
      </c>
      <c r="F22" s="13" t="s">
        <v>296</v>
      </c>
      <c r="G22" s="13" t="s">
        <v>297</v>
      </c>
      <c r="H22" s="13" t="s">
        <v>304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 customFormat="false" ht="15" hidden="false" customHeight="false" outlineLevel="0" collapsed="false">
      <c r="A23" s="30" t="n">
        <v>19</v>
      </c>
      <c r="B23" s="13"/>
      <c r="C23" s="13"/>
      <c r="D23" s="13" t="n">
        <v>3</v>
      </c>
      <c r="E23" s="47" t="str">
        <f aca="false">IFERROR(INDEX(Cores!$B$5:$B$21,MATCH(D23,Cores!$A$5:$A$21,0)),"")</f>
        <v>Branco brilhante</v>
      </c>
      <c r="F23" s="13" t="s">
        <v>296</v>
      </c>
      <c r="G23" s="13" t="s">
        <v>305</v>
      </c>
      <c r="H23" s="13" t="s">
        <v>298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 customFormat="false" ht="15" hidden="false" customHeight="false" outlineLevel="0" collapsed="false">
      <c r="A24" s="30" t="n">
        <v>20</v>
      </c>
      <c r="B24" s="13"/>
      <c r="C24" s="13"/>
      <c r="D24" s="13" t="n">
        <v>3</v>
      </c>
      <c r="E24" s="47" t="str">
        <f aca="false">IFERROR(INDEX(Cores!$B$5:$B$21,MATCH(D24,Cores!$A$5:$A$21,0)),"")</f>
        <v>Branco brilhante</v>
      </c>
      <c r="F24" s="13" t="s">
        <v>296</v>
      </c>
      <c r="G24" s="13" t="s">
        <v>305</v>
      </c>
      <c r="H24" s="13" t="s">
        <v>304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 customFormat="false" ht="15" hidden="false" customHeight="false" outlineLevel="0" collapsed="false">
      <c r="A25" s="30" t="n">
        <v>21</v>
      </c>
      <c r="B25" s="13"/>
      <c r="C25" s="13"/>
      <c r="D25" s="13" t="n">
        <v>3</v>
      </c>
      <c r="E25" s="47" t="str">
        <f aca="false">IFERROR(INDEX(Cores!$B$5:$B$21,MATCH(D25,Cores!$A$5:$A$21,0)),"")</f>
        <v>Branco brilhante</v>
      </c>
      <c r="F25" s="13" t="s">
        <v>306</v>
      </c>
      <c r="G25" s="13" t="s">
        <v>297</v>
      </c>
      <c r="H25" s="13" t="s">
        <v>298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 customFormat="false" ht="15" hidden="false" customHeight="false" outlineLevel="0" collapsed="false">
      <c r="A26" s="30" t="n">
        <v>22</v>
      </c>
      <c r="B26" s="13"/>
      <c r="C26" s="13"/>
      <c r="D26" s="13" t="n">
        <v>3</v>
      </c>
      <c r="E26" s="47" t="str">
        <f aca="false">IFERROR(INDEX(Cores!$B$5:$B$21,MATCH(D26,Cores!$A$5:$A$21,0)),"")</f>
        <v>Branco brilhante</v>
      </c>
      <c r="F26" s="13" t="s">
        <v>306</v>
      </c>
      <c r="G26" s="13" t="s">
        <v>297</v>
      </c>
      <c r="H26" s="13" t="s">
        <v>304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customFormat="false" ht="15" hidden="false" customHeight="false" outlineLevel="0" collapsed="false">
      <c r="A27" s="30" t="n">
        <v>23</v>
      </c>
      <c r="B27" s="13"/>
      <c r="C27" s="13"/>
      <c r="D27" s="13" t="n">
        <v>3</v>
      </c>
      <c r="E27" s="47" t="str">
        <f aca="false">IFERROR(INDEX(Cores!$B$5:$B$21,MATCH(D27,Cores!$A$5:$A$21,0)),"")</f>
        <v>Branco brilhante</v>
      </c>
      <c r="F27" s="13" t="s">
        <v>306</v>
      </c>
      <c r="G27" s="13" t="s">
        <v>305</v>
      </c>
      <c r="H27" s="13" t="s">
        <v>298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 customFormat="false" ht="15" hidden="false" customHeight="false" outlineLevel="0" collapsed="false">
      <c r="A28" s="30" t="n">
        <v>24</v>
      </c>
      <c r="B28" s="13"/>
      <c r="C28" s="13"/>
      <c r="D28" s="13" t="n">
        <v>3</v>
      </c>
      <c r="E28" s="47" t="str">
        <f aca="false">IFERROR(INDEX(Cores!$B$5:$B$21,MATCH(D28,Cores!$A$5:$A$21,0)),"")</f>
        <v>Branco brilhante</v>
      </c>
      <c r="F28" s="13" t="s">
        <v>306</v>
      </c>
      <c r="G28" s="13" t="s">
        <v>305</v>
      </c>
      <c r="H28" s="13" t="s">
        <v>304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 customFormat="false" ht="15" hidden="false" customHeight="false" outlineLevel="0" collapsed="false">
      <c r="A29" s="30" t="n">
        <v>25</v>
      </c>
      <c r="B29" s="13"/>
      <c r="C29" s="13"/>
      <c r="D29" s="13" t="n">
        <v>4</v>
      </c>
      <c r="E29" s="47" t="str">
        <f aca="false">IFERROR(INDEX(Cores!$B$5:$B$21,MATCH(D29,Cores!$A$5:$A$21,0)),"")</f>
        <v>Branco acetinado</v>
      </c>
      <c r="F29" s="13" t="s">
        <v>296</v>
      </c>
      <c r="G29" s="13" t="s">
        <v>297</v>
      </c>
      <c r="H29" s="13" t="s">
        <v>298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</row>
    <row r="30" customFormat="false" ht="15" hidden="false" customHeight="false" outlineLevel="0" collapsed="false">
      <c r="A30" s="30" t="n">
        <v>26</v>
      </c>
      <c r="B30" s="13"/>
      <c r="C30" s="13"/>
      <c r="D30" s="13" t="n">
        <v>4</v>
      </c>
      <c r="E30" s="47" t="str">
        <f aca="false">IFERROR(INDEX(Cores!$B$5:$B$21,MATCH(D30,Cores!$A$5:$A$21,0)),"")</f>
        <v>Branco acetinado</v>
      </c>
      <c r="F30" s="13" t="s">
        <v>296</v>
      </c>
      <c r="G30" s="13" t="s">
        <v>297</v>
      </c>
      <c r="H30" s="13" t="s">
        <v>304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customFormat="false" ht="15" hidden="false" customHeight="false" outlineLevel="0" collapsed="false">
      <c r="A31" s="30" t="n">
        <v>27</v>
      </c>
      <c r="B31" s="13"/>
      <c r="C31" s="13"/>
      <c r="D31" s="13" t="n">
        <v>4</v>
      </c>
      <c r="E31" s="47" t="str">
        <f aca="false">IFERROR(INDEX(Cores!$B$5:$B$21,MATCH(D31,Cores!$A$5:$A$21,0)),"")</f>
        <v>Branco acetinado</v>
      </c>
      <c r="F31" s="13" t="s">
        <v>296</v>
      </c>
      <c r="G31" s="13" t="s">
        <v>305</v>
      </c>
      <c r="H31" s="13" t="s">
        <v>298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 customFormat="false" ht="15" hidden="false" customHeight="false" outlineLevel="0" collapsed="false">
      <c r="A32" s="30" t="n">
        <v>28</v>
      </c>
      <c r="B32" s="13"/>
      <c r="C32" s="13"/>
      <c r="D32" s="13" t="n">
        <v>4</v>
      </c>
      <c r="E32" s="47" t="str">
        <f aca="false">IFERROR(INDEX(Cores!$B$5:$B$21,MATCH(D32,Cores!$A$5:$A$21,0)),"")</f>
        <v>Branco acetinado</v>
      </c>
      <c r="F32" s="13" t="s">
        <v>296</v>
      </c>
      <c r="G32" s="13" t="s">
        <v>305</v>
      </c>
      <c r="H32" s="13" t="s">
        <v>304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customFormat="false" ht="15" hidden="false" customHeight="false" outlineLevel="0" collapsed="false">
      <c r="A33" s="30" t="n">
        <v>29</v>
      </c>
      <c r="B33" s="13"/>
      <c r="C33" s="13"/>
      <c r="D33" s="13" t="n">
        <v>4</v>
      </c>
      <c r="E33" s="47" t="str">
        <f aca="false">IFERROR(INDEX(Cores!$B$5:$B$21,MATCH(D33,Cores!$A$5:$A$21,0)),"")</f>
        <v>Branco acetinado</v>
      </c>
      <c r="F33" s="13" t="s">
        <v>306</v>
      </c>
      <c r="G33" s="13" t="s">
        <v>297</v>
      </c>
      <c r="H33" s="13" t="s">
        <v>298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 customFormat="false" ht="15" hidden="false" customHeight="false" outlineLevel="0" collapsed="false">
      <c r="A34" s="30" t="n">
        <v>30</v>
      </c>
      <c r="B34" s="13"/>
      <c r="C34" s="13"/>
      <c r="D34" s="13" t="n">
        <v>4</v>
      </c>
      <c r="E34" s="47" t="str">
        <f aca="false">IFERROR(INDEX(Cores!$B$5:$B$21,MATCH(D34,Cores!$A$5:$A$21,0)),"")</f>
        <v>Branco acetinado</v>
      </c>
      <c r="F34" s="13" t="s">
        <v>306</v>
      </c>
      <c r="G34" s="13" t="s">
        <v>297</v>
      </c>
      <c r="H34" s="13" t="s">
        <v>304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customFormat="false" ht="15" hidden="false" customHeight="false" outlineLevel="0" collapsed="false">
      <c r="A35" s="30" t="n">
        <v>31</v>
      </c>
      <c r="B35" s="13"/>
      <c r="C35" s="13"/>
      <c r="D35" s="13" t="n">
        <v>4</v>
      </c>
      <c r="E35" s="47" t="str">
        <f aca="false">IFERROR(INDEX(Cores!$B$5:$B$21,MATCH(D35,Cores!$A$5:$A$21,0)),"")</f>
        <v>Branco acetinado</v>
      </c>
      <c r="F35" s="13" t="s">
        <v>306</v>
      </c>
      <c r="G35" s="13" t="s">
        <v>305</v>
      </c>
      <c r="H35" s="13" t="s">
        <v>298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customFormat="false" ht="15" hidden="false" customHeight="false" outlineLevel="0" collapsed="false">
      <c r="A36" s="30" t="n">
        <v>32</v>
      </c>
      <c r="B36" s="13"/>
      <c r="C36" s="13"/>
      <c r="D36" s="13" t="n">
        <v>4</v>
      </c>
      <c r="E36" s="47" t="str">
        <f aca="false">IFERROR(INDEX(Cores!$B$5:$B$21,MATCH(D36,Cores!$A$5:$A$21,0)),"")</f>
        <v>Branco acetinado</v>
      </c>
      <c r="F36" s="13" t="s">
        <v>306</v>
      </c>
      <c r="G36" s="13" t="s">
        <v>305</v>
      </c>
      <c r="H36" s="13" t="s">
        <v>304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customFormat="false" ht="15" hidden="false" customHeight="false" outlineLevel="0" collapsed="false">
      <c r="A37" s="30" t="n">
        <v>33</v>
      </c>
      <c r="B37" s="13"/>
      <c r="C37" s="13"/>
      <c r="D37" s="13" t="n">
        <v>5</v>
      </c>
      <c r="E37" s="47" t="str">
        <f aca="false">IFERROR(INDEX(Cores!$B$5:$B$21,MATCH(D37,Cores!$A$5:$A$21,0)),"")</f>
        <v>Preto brilhante</v>
      </c>
      <c r="F37" s="13" t="s">
        <v>296</v>
      </c>
      <c r="G37" s="13" t="s">
        <v>297</v>
      </c>
      <c r="H37" s="13" t="s">
        <v>298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customFormat="false" ht="15" hidden="false" customHeight="false" outlineLevel="0" collapsed="false">
      <c r="A38" s="30" t="n">
        <v>34</v>
      </c>
      <c r="B38" s="13"/>
      <c r="C38" s="13"/>
      <c r="D38" s="13" t="n">
        <v>5</v>
      </c>
      <c r="E38" s="47" t="str">
        <f aca="false">IFERROR(INDEX(Cores!$B$5:$B$21,MATCH(D38,Cores!$A$5:$A$21,0)),"")</f>
        <v>Preto brilhante</v>
      </c>
      <c r="F38" s="13" t="s">
        <v>296</v>
      </c>
      <c r="G38" s="13" t="s">
        <v>297</v>
      </c>
      <c r="H38" s="13" t="s">
        <v>304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customFormat="false" ht="15" hidden="false" customHeight="false" outlineLevel="0" collapsed="false">
      <c r="A39" s="30" t="n">
        <v>35</v>
      </c>
      <c r="B39" s="13"/>
      <c r="C39" s="13"/>
      <c r="D39" s="13" t="n">
        <v>5</v>
      </c>
      <c r="E39" s="47" t="str">
        <f aca="false">IFERROR(INDEX(Cores!$B$5:$B$21,MATCH(D39,Cores!$A$5:$A$21,0)),"")</f>
        <v>Preto brilhante</v>
      </c>
      <c r="F39" s="13" t="s">
        <v>296</v>
      </c>
      <c r="G39" s="13" t="s">
        <v>305</v>
      </c>
      <c r="H39" s="13" t="s">
        <v>298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0" customFormat="false" ht="15" hidden="false" customHeight="false" outlineLevel="0" collapsed="false">
      <c r="A40" s="30" t="n">
        <v>36</v>
      </c>
      <c r="B40" s="13"/>
      <c r="C40" s="13"/>
      <c r="D40" s="13" t="n">
        <v>5</v>
      </c>
      <c r="E40" s="47" t="str">
        <f aca="false">IFERROR(INDEX(Cores!$B$5:$B$21,MATCH(D40,Cores!$A$5:$A$21,0)),"")</f>
        <v>Preto brilhante</v>
      </c>
      <c r="F40" s="13" t="s">
        <v>296</v>
      </c>
      <c r="G40" s="13" t="s">
        <v>305</v>
      </c>
      <c r="H40" s="13" t="s">
        <v>304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customFormat="false" ht="15" hidden="false" customHeight="false" outlineLevel="0" collapsed="false">
      <c r="A41" s="30" t="n">
        <v>37</v>
      </c>
      <c r="B41" s="13"/>
      <c r="C41" s="13"/>
      <c r="D41" s="13" t="n">
        <v>5</v>
      </c>
      <c r="E41" s="47" t="str">
        <f aca="false">IFERROR(INDEX(Cores!$B$5:$B$21,MATCH(D41,Cores!$A$5:$A$21,0)),"")</f>
        <v>Preto brilhante</v>
      </c>
      <c r="F41" s="13" t="s">
        <v>306</v>
      </c>
      <c r="G41" s="13" t="s">
        <v>297</v>
      </c>
      <c r="H41" s="13" t="s">
        <v>298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</row>
    <row r="42" customFormat="false" ht="15" hidden="false" customHeight="false" outlineLevel="0" collapsed="false">
      <c r="A42" s="30" t="n">
        <v>38</v>
      </c>
      <c r="B42" s="13"/>
      <c r="C42" s="13"/>
      <c r="D42" s="13" t="n">
        <v>5</v>
      </c>
      <c r="E42" s="47" t="str">
        <f aca="false">IFERROR(INDEX(Cores!$B$5:$B$21,MATCH(D42,Cores!$A$5:$A$21,0)),"")</f>
        <v>Preto brilhante</v>
      </c>
      <c r="F42" s="13" t="s">
        <v>306</v>
      </c>
      <c r="G42" s="13" t="s">
        <v>297</v>
      </c>
      <c r="H42" s="13" t="s">
        <v>304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customFormat="false" ht="15" hidden="false" customHeight="false" outlineLevel="0" collapsed="false">
      <c r="A43" s="30" t="n">
        <v>39</v>
      </c>
      <c r="B43" s="13"/>
      <c r="C43" s="13"/>
      <c r="D43" s="13" t="n">
        <v>5</v>
      </c>
      <c r="E43" s="47" t="str">
        <f aca="false">IFERROR(INDEX(Cores!$B$5:$B$21,MATCH(D43,Cores!$A$5:$A$21,0)),"")</f>
        <v>Preto brilhante</v>
      </c>
      <c r="F43" s="13" t="s">
        <v>306</v>
      </c>
      <c r="G43" s="13" t="s">
        <v>305</v>
      </c>
      <c r="H43" s="13" t="s">
        <v>298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customFormat="false" ht="15" hidden="false" customHeight="false" outlineLevel="0" collapsed="false">
      <c r="A44" s="30" t="n">
        <v>40</v>
      </c>
      <c r="B44" s="13"/>
      <c r="C44" s="13"/>
      <c r="D44" s="13" t="n">
        <v>5</v>
      </c>
      <c r="E44" s="47" t="str">
        <f aca="false">IFERROR(INDEX(Cores!$B$5:$B$21,MATCH(D44,Cores!$A$5:$A$21,0)),"")</f>
        <v>Preto brilhante</v>
      </c>
      <c r="F44" s="13" t="s">
        <v>306</v>
      </c>
      <c r="G44" s="13" t="s">
        <v>305</v>
      </c>
      <c r="H44" s="13" t="s">
        <v>304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customFormat="false" ht="15" hidden="false" customHeight="false" outlineLevel="0" collapsed="false">
      <c r="A45" s="30" t="n">
        <v>41</v>
      </c>
      <c r="B45" s="13"/>
      <c r="C45" s="13"/>
      <c r="D45" s="13" t="n">
        <v>6</v>
      </c>
      <c r="E45" s="47" t="str">
        <f aca="false">IFERROR(INDEX(Cores!$B$5:$B$21,MATCH(D45,Cores!$A$5:$A$21,0)),"")</f>
        <v>Tenmoku</v>
      </c>
      <c r="F45" s="13" t="s">
        <v>296</v>
      </c>
      <c r="G45" s="13" t="s">
        <v>297</v>
      </c>
      <c r="H45" s="13" t="s">
        <v>298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</row>
    <row r="46" customFormat="false" ht="15" hidden="false" customHeight="false" outlineLevel="0" collapsed="false">
      <c r="A46" s="30" t="n">
        <v>42</v>
      </c>
      <c r="B46" s="13"/>
      <c r="C46" s="13"/>
      <c r="D46" s="13" t="n">
        <v>6</v>
      </c>
      <c r="E46" s="47" t="str">
        <f aca="false">IFERROR(INDEX(Cores!$B$5:$B$21,MATCH(D46,Cores!$A$5:$A$21,0)),"")</f>
        <v>Tenmoku</v>
      </c>
      <c r="F46" s="13" t="s">
        <v>296</v>
      </c>
      <c r="G46" s="13" t="s">
        <v>297</v>
      </c>
      <c r="H46" s="13" t="s">
        <v>304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 customFormat="false" ht="15" hidden="false" customHeight="false" outlineLevel="0" collapsed="false">
      <c r="A47" s="30" t="n">
        <v>43</v>
      </c>
      <c r="B47" s="13"/>
      <c r="C47" s="13"/>
      <c r="D47" s="13" t="n">
        <v>6</v>
      </c>
      <c r="E47" s="47" t="str">
        <f aca="false">IFERROR(INDEX(Cores!$B$5:$B$21,MATCH(D47,Cores!$A$5:$A$21,0)),"")</f>
        <v>Tenmoku</v>
      </c>
      <c r="F47" s="13" t="s">
        <v>296</v>
      </c>
      <c r="G47" s="13" t="s">
        <v>305</v>
      </c>
      <c r="H47" s="13" t="s">
        <v>298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 customFormat="false" ht="15" hidden="false" customHeight="false" outlineLevel="0" collapsed="false">
      <c r="A48" s="30" t="n">
        <v>44</v>
      </c>
      <c r="B48" s="13"/>
      <c r="C48" s="13"/>
      <c r="D48" s="13" t="n">
        <v>6</v>
      </c>
      <c r="E48" s="47" t="str">
        <f aca="false">IFERROR(INDEX(Cores!$B$5:$B$21,MATCH(D48,Cores!$A$5:$A$21,0)),"")</f>
        <v>Tenmoku</v>
      </c>
      <c r="F48" s="13" t="s">
        <v>296</v>
      </c>
      <c r="G48" s="13" t="s">
        <v>305</v>
      </c>
      <c r="H48" s="13" t="s">
        <v>304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customFormat="false" ht="15" hidden="false" customHeight="false" outlineLevel="0" collapsed="false">
      <c r="A49" s="30" t="n">
        <v>45</v>
      </c>
      <c r="B49" s="13"/>
      <c r="C49" s="13"/>
      <c r="D49" s="13" t="n">
        <v>6</v>
      </c>
      <c r="E49" s="47" t="str">
        <f aca="false">IFERROR(INDEX(Cores!$B$5:$B$21,MATCH(D49,Cores!$A$5:$A$21,0)),"")</f>
        <v>Tenmoku</v>
      </c>
      <c r="F49" s="13" t="s">
        <v>306</v>
      </c>
      <c r="G49" s="13" t="s">
        <v>297</v>
      </c>
      <c r="H49" s="13" t="s">
        <v>298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customFormat="false" ht="15" hidden="false" customHeight="false" outlineLevel="0" collapsed="false">
      <c r="A50" s="30" t="n">
        <v>46</v>
      </c>
      <c r="B50" s="13"/>
      <c r="C50" s="13"/>
      <c r="D50" s="13" t="n">
        <v>6</v>
      </c>
      <c r="E50" s="47" t="str">
        <f aca="false">IFERROR(INDEX(Cores!$B$5:$B$21,MATCH(D50,Cores!$A$5:$A$21,0)),"")</f>
        <v>Tenmoku</v>
      </c>
      <c r="F50" s="13" t="s">
        <v>306</v>
      </c>
      <c r="G50" s="13" t="s">
        <v>297</v>
      </c>
      <c r="H50" s="13" t="s">
        <v>304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customFormat="false" ht="15" hidden="false" customHeight="false" outlineLevel="0" collapsed="false">
      <c r="A51" s="30" t="n">
        <v>47</v>
      </c>
      <c r="B51" s="13"/>
      <c r="C51" s="13"/>
      <c r="D51" s="13" t="n">
        <v>6</v>
      </c>
      <c r="E51" s="47" t="str">
        <f aca="false">IFERROR(INDEX(Cores!$B$5:$B$21,MATCH(D51,Cores!$A$5:$A$21,0)),"")</f>
        <v>Tenmoku</v>
      </c>
      <c r="F51" s="13" t="s">
        <v>306</v>
      </c>
      <c r="G51" s="13" t="s">
        <v>305</v>
      </c>
      <c r="H51" s="13" t="s">
        <v>298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customFormat="false" ht="15" hidden="false" customHeight="false" outlineLevel="0" collapsed="false">
      <c r="A52" s="30" t="n">
        <v>48</v>
      </c>
      <c r="B52" s="13"/>
      <c r="C52" s="13"/>
      <c r="D52" s="13" t="n">
        <v>6</v>
      </c>
      <c r="E52" s="47" t="str">
        <f aca="false">IFERROR(INDEX(Cores!$B$5:$B$21,MATCH(D52,Cores!$A$5:$A$21,0)),"")</f>
        <v>Tenmoku</v>
      </c>
      <c r="F52" s="13" t="s">
        <v>306</v>
      </c>
      <c r="G52" s="13" t="s">
        <v>305</v>
      </c>
      <c r="H52" s="13" t="s">
        <v>304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 customFormat="false" ht="15" hidden="false" customHeight="false" outlineLevel="0" collapsed="false">
      <c r="A53" s="30" t="n">
        <v>49</v>
      </c>
      <c r="B53" s="13"/>
      <c r="C53" s="13"/>
      <c r="D53" s="13" t="n">
        <v>7</v>
      </c>
      <c r="E53" s="47" t="str">
        <f aca="false">IFERROR(INDEX(Cores!$B$5:$B$21,MATCH(D53,Cores!$A$5:$A$21,0)),"")</f>
        <v>Celadon verde</v>
      </c>
      <c r="F53" s="13" t="s">
        <v>296</v>
      </c>
      <c r="G53" s="13" t="s">
        <v>297</v>
      </c>
      <c r="H53" s="13" t="s">
        <v>298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4" customFormat="false" ht="15" hidden="false" customHeight="false" outlineLevel="0" collapsed="false">
      <c r="A54" s="30" t="n">
        <v>50</v>
      </c>
      <c r="B54" s="13"/>
      <c r="C54" s="13"/>
      <c r="D54" s="13" t="n">
        <v>7</v>
      </c>
      <c r="E54" s="47" t="str">
        <f aca="false">IFERROR(INDEX(Cores!$B$5:$B$21,MATCH(D54,Cores!$A$5:$A$21,0)),"")</f>
        <v>Celadon verde</v>
      </c>
      <c r="F54" s="13" t="s">
        <v>296</v>
      </c>
      <c r="G54" s="13" t="s">
        <v>297</v>
      </c>
      <c r="H54" s="13" t="s">
        <v>304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 customFormat="false" ht="15" hidden="false" customHeight="false" outlineLevel="0" collapsed="false">
      <c r="A55" s="30" t="n">
        <v>51</v>
      </c>
      <c r="B55" s="13"/>
      <c r="C55" s="13"/>
      <c r="D55" s="13" t="n">
        <v>7</v>
      </c>
      <c r="E55" s="47" t="str">
        <f aca="false">IFERROR(INDEX(Cores!$B$5:$B$21,MATCH(D55,Cores!$A$5:$A$21,0)),"")</f>
        <v>Celadon verde</v>
      </c>
      <c r="F55" s="13" t="s">
        <v>296</v>
      </c>
      <c r="G55" s="13" t="s">
        <v>305</v>
      </c>
      <c r="H55" s="13" t="s">
        <v>298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 customFormat="false" ht="15" hidden="false" customHeight="false" outlineLevel="0" collapsed="false">
      <c r="A56" s="30" t="n">
        <v>52</v>
      </c>
      <c r="B56" s="13"/>
      <c r="C56" s="13"/>
      <c r="D56" s="13" t="n">
        <v>7</v>
      </c>
      <c r="E56" s="47" t="str">
        <f aca="false">IFERROR(INDEX(Cores!$B$5:$B$21,MATCH(D56,Cores!$A$5:$A$21,0)),"")</f>
        <v>Celadon verde</v>
      </c>
      <c r="F56" s="13" t="s">
        <v>296</v>
      </c>
      <c r="G56" s="13" t="s">
        <v>305</v>
      </c>
      <c r="H56" s="13" t="s">
        <v>304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 customFormat="false" ht="15" hidden="false" customHeight="false" outlineLevel="0" collapsed="false">
      <c r="A57" s="30" t="n">
        <v>53</v>
      </c>
      <c r="B57" s="13"/>
      <c r="C57" s="13"/>
      <c r="D57" s="13" t="n">
        <v>7</v>
      </c>
      <c r="E57" s="47" t="str">
        <f aca="false">IFERROR(INDEX(Cores!$B$5:$B$21,MATCH(D57,Cores!$A$5:$A$21,0)),"")</f>
        <v>Celadon verde</v>
      </c>
      <c r="F57" s="13" t="s">
        <v>306</v>
      </c>
      <c r="G57" s="13" t="s">
        <v>297</v>
      </c>
      <c r="H57" s="13" t="s">
        <v>298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 customFormat="false" ht="15" hidden="false" customHeight="false" outlineLevel="0" collapsed="false">
      <c r="A58" s="30" t="n">
        <v>54</v>
      </c>
      <c r="B58" s="13"/>
      <c r="C58" s="13"/>
      <c r="D58" s="13" t="n">
        <v>7</v>
      </c>
      <c r="E58" s="47" t="str">
        <f aca="false">IFERROR(INDEX(Cores!$B$5:$B$21,MATCH(D58,Cores!$A$5:$A$21,0)),"")</f>
        <v>Celadon verde</v>
      </c>
      <c r="F58" s="13" t="s">
        <v>306</v>
      </c>
      <c r="G58" s="13" t="s">
        <v>297</v>
      </c>
      <c r="H58" s="13" t="s">
        <v>304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 customFormat="false" ht="15" hidden="false" customHeight="false" outlineLevel="0" collapsed="false">
      <c r="A59" s="30" t="n">
        <v>55</v>
      </c>
      <c r="B59" s="13"/>
      <c r="C59" s="13"/>
      <c r="D59" s="13" t="n">
        <v>7</v>
      </c>
      <c r="E59" s="47" t="str">
        <f aca="false">IFERROR(INDEX(Cores!$B$5:$B$21,MATCH(D59,Cores!$A$5:$A$21,0)),"")</f>
        <v>Celadon verde</v>
      </c>
      <c r="F59" s="13" t="s">
        <v>306</v>
      </c>
      <c r="G59" s="13" t="s">
        <v>305</v>
      </c>
      <c r="H59" s="13" t="s">
        <v>298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 customFormat="false" ht="15" hidden="false" customHeight="false" outlineLevel="0" collapsed="false">
      <c r="A60" s="30" t="n">
        <v>56</v>
      </c>
      <c r="B60" s="13"/>
      <c r="C60" s="13"/>
      <c r="D60" s="13" t="n">
        <v>7</v>
      </c>
      <c r="E60" s="47" t="str">
        <f aca="false">IFERROR(INDEX(Cores!$B$5:$B$21,MATCH(D60,Cores!$A$5:$A$21,0)),"")</f>
        <v>Celadon verde</v>
      </c>
      <c r="F60" s="13" t="s">
        <v>306</v>
      </c>
      <c r="G60" s="13" t="s">
        <v>305</v>
      </c>
      <c r="H60" s="13" t="s">
        <v>304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 customFormat="false" ht="15" hidden="false" customHeight="false" outlineLevel="0" collapsed="false">
      <c r="A61" s="30" t="n">
        <v>57</v>
      </c>
      <c r="B61" s="13"/>
      <c r="C61" s="13"/>
      <c r="D61" s="13" t="n">
        <v>8</v>
      </c>
      <c r="E61" s="47" t="str">
        <f aca="false">IFERROR(INDEX(Cores!$B$5:$B$21,MATCH(D61,Cores!$A$5:$A$21,0)),"")</f>
        <v>Celadon azul</v>
      </c>
      <c r="F61" s="13" t="s">
        <v>296</v>
      </c>
      <c r="G61" s="13" t="s">
        <v>297</v>
      </c>
      <c r="H61" s="13" t="s">
        <v>298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</row>
    <row r="62" customFormat="false" ht="15" hidden="false" customHeight="false" outlineLevel="0" collapsed="false">
      <c r="A62" s="30" t="n">
        <v>58</v>
      </c>
      <c r="B62" s="13"/>
      <c r="C62" s="13"/>
      <c r="D62" s="13" t="n">
        <v>8</v>
      </c>
      <c r="E62" s="47" t="str">
        <f aca="false">IFERROR(INDEX(Cores!$B$5:$B$21,MATCH(D62,Cores!$A$5:$A$21,0)),"")</f>
        <v>Celadon azul</v>
      </c>
      <c r="F62" s="13" t="s">
        <v>296</v>
      </c>
      <c r="G62" s="13" t="s">
        <v>297</v>
      </c>
      <c r="H62" s="13" t="s">
        <v>304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</row>
    <row r="63" customFormat="false" ht="15" hidden="false" customHeight="false" outlineLevel="0" collapsed="false">
      <c r="A63" s="30" t="n">
        <v>59</v>
      </c>
      <c r="B63" s="13"/>
      <c r="C63" s="13"/>
      <c r="D63" s="13" t="n">
        <v>8</v>
      </c>
      <c r="E63" s="47" t="str">
        <f aca="false">IFERROR(INDEX(Cores!$B$5:$B$21,MATCH(D63,Cores!$A$5:$A$21,0)),"")</f>
        <v>Celadon azul</v>
      </c>
      <c r="F63" s="13" t="s">
        <v>296</v>
      </c>
      <c r="G63" s="13" t="s">
        <v>305</v>
      </c>
      <c r="H63" s="13" t="s">
        <v>298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 customFormat="false" ht="15" hidden="false" customHeight="false" outlineLevel="0" collapsed="false">
      <c r="A64" s="30" t="n">
        <v>60</v>
      </c>
      <c r="B64" s="13"/>
      <c r="C64" s="13"/>
      <c r="D64" s="13" t="n">
        <v>8</v>
      </c>
      <c r="E64" s="47" t="str">
        <f aca="false">IFERROR(INDEX(Cores!$B$5:$B$21,MATCH(D64,Cores!$A$5:$A$21,0)),"")</f>
        <v>Celadon azul</v>
      </c>
      <c r="F64" s="13" t="s">
        <v>296</v>
      </c>
      <c r="G64" s="13" t="s">
        <v>305</v>
      </c>
      <c r="H64" s="13" t="s">
        <v>304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</row>
    <row r="65" customFormat="false" ht="15" hidden="false" customHeight="false" outlineLevel="0" collapsed="false">
      <c r="A65" s="30" t="n">
        <v>61</v>
      </c>
      <c r="B65" s="13"/>
      <c r="C65" s="13"/>
      <c r="D65" s="13" t="n">
        <v>8</v>
      </c>
      <c r="E65" s="47" t="str">
        <f aca="false">IFERROR(INDEX(Cores!$B$5:$B$21,MATCH(D65,Cores!$A$5:$A$21,0)),"")</f>
        <v>Celadon azul</v>
      </c>
      <c r="F65" s="13" t="s">
        <v>306</v>
      </c>
      <c r="G65" s="13" t="s">
        <v>297</v>
      </c>
      <c r="H65" s="13" t="s">
        <v>298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</row>
    <row r="66" customFormat="false" ht="15" hidden="false" customHeight="false" outlineLevel="0" collapsed="false">
      <c r="A66" s="30" t="n">
        <v>62</v>
      </c>
      <c r="B66" s="13"/>
      <c r="C66" s="13"/>
      <c r="D66" s="13" t="n">
        <v>8</v>
      </c>
      <c r="E66" s="47" t="str">
        <f aca="false">IFERROR(INDEX(Cores!$B$5:$B$21,MATCH(D66,Cores!$A$5:$A$21,0)),"")</f>
        <v>Celadon azul</v>
      </c>
      <c r="F66" s="13" t="s">
        <v>306</v>
      </c>
      <c r="G66" s="13" t="s">
        <v>297</v>
      </c>
      <c r="H66" s="13" t="s">
        <v>304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</row>
    <row r="67" customFormat="false" ht="15" hidden="false" customHeight="false" outlineLevel="0" collapsed="false">
      <c r="A67" s="30" t="n">
        <v>63</v>
      </c>
      <c r="B67" s="13"/>
      <c r="C67" s="13"/>
      <c r="D67" s="13" t="n">
        <v>8</v>
      </c>
      <c r="E67" s="47" t="str">
        <f aca="false">IFERROR(INDEX(Cores!$B$5:$B$21,MATCH(D67,Cores!$A$5:$A$21,0)),"")</f>
        <v>Celadon azul</v>
      </c>
      <c r="F67" s="13" t="s">
        <v>306</v>
      </c>
      <c r="G67" s="13" t="s">
        <v>305</v>
      </c>
      <c r="H67" s="13" t="s">
        <v>298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</row>
    <row r="68" customFormat="false" ht="15" hidden="false" customHeight="false" outlineLevel="0" collapsed="false">
      <c r="A68" s="30" t="n">
        <v>64</v>
      </c>
      <c r="B68" s="13"/>
      <c r="C68" s="13"/>
      <c r="D68" s="13" t="n">
        <v>8</v>
      </c>
      <c r="E68" s="47" t="str">
        <f aca="false">IFERROR(INDEX(Cores!$B$5:$B$21,MATCH(D68,Cores!$A$5:$A$21,0)),"")</f>
        <v>Celadon azul</v>
      </c>
      <c r="F68" s="13" t="s">
        <v>306</v>
      </c>
      <c r="G68" s="13" t="s">
        <v>305</v>
      </c>
      <c r="H68" s="13" t="s">
        <v>304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</row>
    <row r="69" customFormat="false" ht="15" hidden="false" customHeight="false" outlineLevel="0" collapsed="false">
      <c r="A69" s="30" t="n">
        <v>65</v>
      </c>
      <c r="B69" s="13"/>
      <c r="C69" s="13"/>
      <c r="D69" s="13" t="n">
        <v>9</v>
      </c>
      <c r="E69" s="47" t="str">
        <f aca="false">IFERROR(INDEX(Cores!$B$5:$B$21,MATCH(D69,Cores!$A$5:$A$21,0)),"")</f>
        <v>Rutilo mel</v>
      </c>
      <c r="F69" s="13" t="s">
        <v>296</v>
      </c>
      <c r="G69" s="13" t="s">
        <v>297</v>
      </c>
      <c r="H69" s="13" t="s">
        <v>298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</row>
    <row r="70" customFormat="false" ht="15" hidden="false" customHeight="false" outlineLevel="0" collapsed="false">
      <c r="A70" s="30" t="n">
        <v>66</v>
      </c>
      <c r="B70" s="13"/>
      <c r="C70" s="13"/>
      <c r="D70" s="13" t="n">
        <v>9</v>
      </c>
      <c r="E70" s="47" t="str">
        <f aca="false">IFERROR(INDEX(Cores!$B$5:$B$21,MATCH(D70,Cores!$A$5:$A$21,0)),"")</f>
        <v>Rutilo mel</v>
      </c>
      <c r="F70" s="13" t="s">
        <v>296</v>
      </c>
      <c r="G70" s="13" t="s">
        <v>297</v>
      </c>
      <c r="H70" s="13" t="s">
        <v>304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 customFormat="false" ht="15" hidden="false" customHeight="false" outlineLevel="0" collapsed="false">
      <c r="A71" s="30" t="n">
        <v>67</v>
      </c>
      <c r="B71" s="13"/>
      <c r="C71" s="13"/>
      <c r="D71" s="13" t="n">
        <v>9</v>
      </c>
      <c r="E71" s="47" t="str">
        <f aca="false">IFERROR(INDEX(Cores!$B$5:$B$21,MATCH(D71,Cores!$A$5:$A$21,0)),"")</f>
        <v>Rutilo mel</v>
      </c>
      <c r="F71" s="13" t="s">
        <v>296</v>
      </c>
      <c r="G71" s="13" t="s">
        <v>305</v>
      </c>
      <c r="H71" s="13" t="s">
        <v>298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</row>
    <row r="72" customFormat="false" ht="15" hidden="false" customHeight="false" outlineLevel="0" collapsed="false">
      <c r="A72" s="30" t="n">
        <v>68</v>
      </c>
      <c r="B72" s="13"/>
      <c r="C72" s="13"/>
      <c r="D72" s="13" t="n">
        <v>9</v>
      </c>
      <c r="E72" s="47" t="str">
        <f aca="false">IFERROR(INDEX(Cores!$B$5:$B$21,MATCH(D72,Cores!$A$5:$A$21,0)),"")</f>
        <v>Rutilo mel</v>
      </c>
      <c r="F72" s="13" t="s">
        <v>296</v>
      </c>
      <c r="G72" s="13" t="s">
        <v>305</v>
      </c>
      <c r="H72" s="13" t="s">
        <v>304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</row>
    <row r="73" customFormat="false" ht="15" hidden="false" customHeight="false" outlineLevel="0" collapsed="false">
      <c r="A73" s="30" t="n">
        <v>69</v>
      </c>
      <c r="B73" s="13"/>
      <c r="C73" s="13"/>
      <c r="D73" s="13" t="n">
        <v>9</v>
      </c>
      <c r="E73" s="47" t="str">
        <f aca="false">IFERROR(INDEX(Cores!$B$5:$B$21,MATCH(D73,Cores!$A$5:$A$21,0)),"")</f>
        <v>Rutilo mel</v>
      </c>
      <c r="F73" s="13" t="s">
        <v>306</v>
      </c>
      <c r="G73" s="13" t="s">
        <v>297</v>
      </c>
      <c r="H73" s="13" t="s">
        <v>298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</row>
    <row r="74" customFormat="false" ht="15" hidden="false" customHeight="false" outlineLevel="0" collapsed="false">
      <c r="A74" s="30" t="n">
        <v>70</v>
      </c>
      <c r="B74" s="13"/>
      <c r="C74" s="13"/>
      <c r="D74" s="13" t="n">
        <v>9</v>
      </c>
      <c r="E74" s="47" t="str">
        <f aca="false">IFERROR(INDEX(Cores!$B$5:$B$21,MATCH(D74,Cores!$A$5:$A$21,0)),"")</f>
        <v>Rutilo mel</v>
      </c>
      <c r="F74" s="13" t="s">
        <v>306</v>
      </c>
      <c r="G74" s="13" t="s">
        <v>297</v>
      </c>
      <c r="H74" s="13" t="s">
        <v>304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 customFormat="false" ht="15" hidden="false" customHeight="false" outlineLevel="0" collapsed="false">
      <c r="A75" s="30" t="n">
        <v>71</v>
      </c>
      <c r="B75" s="13"/>
      <c r="C75" s="13"/>
      <c r="D75" s="13" t="n">
        <v>9</v>
      </c>
      <c r="E75" s="47" t="str">
        <f aca="false">IFERROR(INDEX(Cores!$B$5:$B$21,MATCH(D75,Cores!$A$5:$A$21,0)),"")</f>
        <v>Rutilo mel</v>
      </c>
      <c r="F75" s="13" t="s">
        <v>306</v>
      </c>
      <c r="G75" s="13" t="s">
        <v>305</v>
      </c>
      <c r="H75" s="13" t="s">
        <v>298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</row>
    <row r="76" customFormat="false" ht="15" hidden="false" customHeight="false" outlineLevel="0" collapsed="false">
      <c r="A76" s="30" t="n">
        <v>72</v>
      </c>
      <c r="B76" s="13"/>
      <c r="C76" s="13"/>
      <c r="D76" s="13" t="n">
        <v>9</v>
      </c>
      <c r="E76" s="47" t="str">
        <f aca="false">IFERROR(INDEX(Cores!$B$5:$B$21,MATCH(D76,Cores!$A$5:$A$21,0)),"")</f>
        <v>Rutilo mel</v>
      </c>
      <c r="F76" s="13" t="s">
        <v>306</v>
      </c>
      <c r="G76" s="13" t="s">
        <v>305</v>
      </c>
      <c r="H76" s="13" t="s">
        <v>304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</row>
    <row r="77" customFormat="false" ht="15" hidden="false" customHeight="false" outlineLevel="0" collapsed="false">
      <c r="A77" s="30" t="n">
        <v>73</v>
      </c>
      <c r="B77" s="13"/>
      <c r="C77" s="13"/>
      <c r="D77" s="13" t="n">
        <v>10</v>
      </c>
      <c r="E77" s="47" t="str">
        <f aca="false">IFERROR(INDEX(Cores!$B$5:$B$21,MATCH(D77,Cores!$A$5:$A$21,0)),"")</f>
        <v>Creme pintalgado</v>
      </c>
      <c r="F77" s="13" t="s">
        <v>296</v>
      </c>
      <c r="G77" s="13" t="s">
        <v>297</v>
      </c>
      <c r="H77" s="13" t="s">
        <v>298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</row>
    <row r="78" customFormat="false" ht="15" hidden="false" customHeight="false" outlineLevel="0" collapsed="false">
      <c r="A78" s="30" t="n">
        <v>74</v>
      </c>
      <c r="B78" s="13"/>
      <c r="C78" s="13"/>
      <c r="D78" s="13" t="n">
        <v>10</v>
      </c>
      <c r="E78" s="47" t="str">
        <f aca="false">IFERROR(INDEX(Cores!$B$5:$B$21,MATCH(D78,Cores!$A$5:$A$21,0)),"")</f>
        <v>Creme pintalgado</v>
      </c>
      <c r="F78" s="13" t="s">
        <v>296</v>
      </c>
      <c r="G78" s="13" t="s">
        <v>297</v>
      </c>
      <c r="H78" s="13" t="s">
        <v>304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 customFormat="false" ht="15" hidden="false" customHeight="false" outlineLevel="0" collapsed="false">
      <c r="A79" s="30" t="n">
        <v>75</v>
      </c>
      <c r="B79" s="13"/>
      <c r="C79" s="13"/>
      <c r="D79" s="13" t="n">
        <v>10</v>
      </c>
      <c r="E79" s="47" t="str">
        <f aca="false">IFERROR(INDEX(Cores!$B$5:$B$21,MATCH(D79,Cores!$A$5:$A$21,0)),"")</f>
        <v>Creme pintalgado</v>
      </c>
      <c r="F79" s="13" t="s">
        <v>296</v>
      </c>
      <c r="G79" s="13" t="s">
        <v>305</v>
      </c>
      <c r="H79" s="13" t="s">
        <v>298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 customFormat="false" ht="15" hidden="false" customHeight="false" outlineLevel="0" collapsed="false">
      <c r="A80" s="30" t="n">
        <v>76</v>
      </c>
      <c r="B80" s="13"/>
      <c r="C80" s="13"/>
      <c r="D80" s="13" t="n">
        <v>10</v>
      </c>
      <c r="E80" s="47" t="str">
        <f aca="false">IFERROR(INDEX(Cores!$B$5:$B$21,MATCH(D80,Cores!$A$5:$A$21,0)),"")</f>
        <v>Creme pintalgado</v>
      </c>
      <c r="F80" s="13" t="s">
        <v>296</v>
      </c>
      <c r="G80" s="13" t="s">
        <v>305</v>
      </c>
      <c r="H80" s="13" t="s">
        <v>304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 customFormat="false" ht="15" hidden="false" customHeight="false" outlineLevel="0" collapsed="false">
      <c r="A81" s="30" t="n">
        <v>77</v>
      </c>
      <c r="B81" s="13"/>
      <c r="C81" s="13"/>
      <c r="D81" s="13" t="n">
        <v>10</v>
      </c>
      <c r="E81" s="47" t="str">
        <f aca="false">IFERROR(INDEX(Cores!$B$5:$B$21,MATCH(D81,Cores!$A$5:$A$21,0)),"")</f>
        <v>Creme pintalgado</v>
      </c>
      <c r="F81" s="13" t="s">
        <v>306</v>
      </c>
      <c r="G81" s="13" t="s">
        <v>297</v>
      </c>
      <c r="H81" s="13" t="s">
        <v>298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 customFormat="false" ht="15" hidden="false" customHeight="false" outlineLevel="0" collapsed="false">
      <c r="A82" s="30" t="n">
        <v>78</v>
      </c>
      <c r="B82" s="13"/>
      <c r="C82" s="13"/>
      <c r="D82" s="13" t="n">
        <v>10</v>
      </c>
      <c r="E82" s="47" t="str">
        <f aca="false">IFERROR(INDEX(Cores!$B$5:$B$21,MATCH(D82,Cores!$A$5:$A$21,0)),"")</f>
        <v>Creme pintalgado</v>
      </c>
      <c r="F82" s="13" t="s">
        <v>306</v>
      </c>
      <c r="G82" s="13" t="s">
        <v>297</v>
      </c>
      <c r="H82" s="13" t="s">
        <v>304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 customFormat="false" ht="15" hidden="false" customHeight="false" outlineLevel="0" collapsed="false">
      <c r="A83" s="30" t="n">
        <v>79</v>
      </c>
      <c r="B83" s="13"/>
      <c r="C83" s="13"/>
      <c r="D83" s="13" t="n">
        <v>10</v>
      </c>
      <c r="E83" s="47" t="str">
        <f aca="false">IFERROR(INDEX(Cores!$B$5:$B$21,MATCH(D83,Cores!$A$5:$A$21,0)),"")</f>
        <v>Creme pintalgado</v>
      </c>
      <c r="F83" s="13" t="s">
        <v>306</v>
      </c>
      <c r="G83" s="13" t="s">
        <v>305</v>
      </c>
      <c r="H83" s="13" t="s">
        <v>298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 customFormat="false" ht="15" hidden="false" customHeight="false" outlineLevel="0" collapsed="false">
      <c r="A84" s="30" t="n">
        <v>80</v>
      </c>
      <c r="B84" s="13"/>
      <c r="C84" s="13"/>
      <c r="D84" s="13" t="n">
        <v>10</v>
      </c>
      <c r="E84" s="47" t="str">
        <f aca="false">IFERROR(INDEX(Cores!$B$5:$B$21,MATCH(D84,Cores!$A$5:$A$21,0)),"")</f>
        <v>Creme pintalgado</v>
      </c>
      <c r="F84" s="13" t="s">
        <v>306</v>
      </c>
      <c r="G84" s="13" t="s">
        <v>305</v>
      </c>
      <c r="H84" s="13" t="s">
        <v>304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 customFormat="false" ht="15" hidden="false" customHeight="false" outlineLevel="0" collapsed="false">
      <c r="A85" s="30" t="n">
        <v>81</v>
      </c>
      <c r="B85" s="13"/>
      <c r="C85" s="13"/>
      <c r="D85" s="13" t="n">
        <v>11</v>
      </c>
      <c r="E85" s="47" t="str">
        <f aca="false">IFERROR(INDEX(Cores!$B$5:$B$21,MATCH(D85,Cores!$A$5:$A$21,0)),"")</f>
        <v>Azul cobalto</v>
      </c>
      <c r="F85" s="13" t="s">
        <v>296</v>
      </c>
      <c r="G85" s="13" t="s">
        <v>297</v>
      </c>
      <c r="H85" s="13" t="s">
        <v>298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 customFormat="false" ht="15" hidden="false" customHeight="false" outlineLevel="0" collapsed="false">
      <c r="A86" s="30" t="n">
        <v>82</v>
      </c>
      <c r="B86" s="13"/>
      <c r="C86" s="13"/>
      <c r="D86" s="13" t="n">
        <v>11</v>
      </c>
      <c r="E86" s="47" t="str">
        <f aca="false">IFERROR(INDEX(Cores!$B$5:$B$21,MATCH(D86,Cores!$A$5:$A$21,0)),"")</f>
        <v>Azul cobalto</v>
      </c>
      <c r="F86" s="13" t="s">
        <v>296</v>
      </c>
      <c r="G86" s="13" t="s">
        <v>297</v>
      </c>
      <c r="H86" s="13" t="s">
        <v>304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 customFormat="false" ht="15" hidden="false" customHeight="false" outlineLevel="0" collapsed="false">
      <c r="A87" s="30" t="n">
        <v>83</v>
      </c>
      <c r="B87" s="13"/>
      <c r="C87" s="13"/>
      <c r="D87" s="13" t="n">
        <v>11</v>
      </c>
      <c r="E87" s="47" t="str">
        <f aca="false">IFERROR(INDEX(Cores!$B$5:$B$21,MATCH(D87,Cores!$A$5:$A$21,0)),"")</f>
        <v>Azul cobalto</v>
      </c>
      <c r="F87" s="13" t="s">
        <v>296</v>
      </c>
      <c r="G87" s="13" t="s">
        <v>305</v>
      </c>
      <c r="H87" s="13" t="s">
        <v>298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 customFormat="false" ht="15" hidden="false" customHeight="false" outlineLevel="0" collapsed="false">
      <c r="A88" s="30" t="n">
        <v>84</v>
      </c>
      <c r="B88" s="13"/>
      <c r="C88" s="13"/>
      <c r="D88" s="13" t="n">
        <v>11</v>
      </c>
      <c r="E88" s="47" t="str">
        <f aca="false">IFERROR(INDEX(Cores!$B$5:$B$21,MATCH(D88,Cores!$A$5:$A$21,0)),"")</f>
        <v>Azul cobalto</v>
      </c>
      <c r="F88" s="13" t="s">
        <v>296</v>
      </c>
      <c r="G88" s="13" t="s">
        <v>305</v>
      </c>
      <c r="H88" s="13" t="s">
        <v>304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 customFormat="false" ht="15" hidden="false" customHeight="false" outlineLevel="0" collapsed="false">
      <c r="A89" s="30" t="n">
        <v>85</v>
      </c>
      <c r="B89" s="13"/>
      <c r="C89" s="13"/>
      <c r="D89" s="13" t="n">
        <v>11</v>
      </c>
      <c r="E89" s="47" t="str">
        <f aca="false">IFERROR(INDEX(Cores!$B$5:$B$21,MATCH(D89,Cores!$A$5:$A$21,0)),"")</f>
        <v>Azul cobalto</v>
      </c>
      <c r="F89" s="13" t="s">
        <v>306</v>
      </c>
      <c r="G89" s="13" t="s">
        <v>297</v>
      </c>
      <c r="H89" s="13" t="s">
        <v>298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 customFormat="false" ht="15" hidden="false" customHeight="false" outlineLevel="0" collapsed="false">
      <c r="A90" s="30" t="n">
        <v>86</v>
      </c>
      <c r="B90" s="13"/>
      <c r="C90" s="13"/>
      <c r="D90" s="13" t="n">
        <v>11</v>
      </c>
      <c r="E90" s="47" t="str">
        <f aca="false">IFERROR(INDEX(Cores!$B$5:$B$21,MATCH(D90,Cores!$A$5:$A$21,0)),"")</f>
        <v>Azul cobalto</v>
      </c>
      <c r="F90" s="13" t="s">
        <v>306</v>
      </c>
      <c r="G90" s="13" t="s">
        <v>297</v>
      </c>
      <c r="H90" s="13" t="s">
        <v>304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 customFormat="false" ht="15" hidden="false" customHeight="false" outlineLevel="0" collapsed="false">
      <c r="A91" s="30" t="n">
        <v>87</v>
      </c>
      <c r="B91" s="13"/>
      <c r="C91" s="13"/>
      <c r="D91" s="13" t="n">
        <v>11</v>
      </c>
      <c r="E91" s="47" t="str">
        <f aca="false">IFERROR(INDEX(Cores!$B$5:$B$21,MATCH(D91,Cores!$A$5:$A$21,0)),"")</f>
        <v>Azul cobalto</v>
      </c>
      <c r="F91" s="13" t="s">
        <v>306</v>
      </c>
      <c r="G91" s="13" t="s">
        <v>305</v>
      </c>
      <c r="H91" s="13" t="s">
        <v>298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</row>
    <row r="92" customFormat="false" ht="15" hidden="false" customHeight="false" outlineLevel="0" collapsed="false">
      <c r="A92" s="30" t="n">
        <v>88</v>
      </c>
      <c r="B92" s="13"/>
      <c r="C92" s="13"/>
      <c r="D92" s="13" t="n">
        <v>11</v>
      </c>
      <c r="E92" s="47" t="str">
        <f aca="false">IFERROR(INDEX(Cores!$B$5:$B$21,MATCH(D92,Cores!$A$5:$A$21,0)),"")</f>
        <v>Azul cobalto</v>
      </c>
      <c r="F92" s="13" t="s">
        <v>306</v>
      </c>
      <c r="G92" s="13" t="s">
        <v>305</v>
      </c>
      <c r="H92" s="13" t="s">
        <v>304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 customFormat="false" ht="15" hidden="false" customHeight="false" outlineLevel="0" collapsed="false">
      <c r="A93" s="30" t="n">
        <v>89</v>
      </c>
      <c r="B93" s="13"/>
      <c r="C93" s="13"/>
      <c r="D93" s="13" t="n">
        <v>12</v>
      </c>
      <c r="E93" s="47" t="str">
        <f aca="false">IFERROR(INDEX(Cores!$B$5:$B$21,MATCH(D93,Cores!$A$5:$A$21,0)),"")</f>
        <v>Turquesa</v>
      </c>
      <c r="F93" s="13" t="s">
        <v>296</v>
      </c>
      <c r="G93" s="13" t="s">
        <v>297</v>
      </c>
      <c r="H93" s="13" t="s">
        <v>298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 customFormat="false" ht="15" hidden="false" customHeight="false" outlineLevel="0" collapsed="false">
      <c r="A94" s="30" t="n">
        <v>90</v>
      </c>
      <c r="B94" s="13"/>
      <c r="C94" s="13"/>
      <c r="D94" s="13" t="n">
        <v>12</v>
      </c>
      <c r="E94" s="47" t="str">
        <f aca="false">IFERROR(INDEX(Cores!$B$5:$B$21,MATCH(D94,Cores!$A$5:$A$21,0)),"")</f>
        <v>Turquesa</v>
      </c>
      <c r="F94" s="13" t="s">
        <v>296</v>
      </c>
      <c r="G94" s="13" t="s">
        <v>297</v>
      </c>
      <c r="H94" s="13" t="s">
        <v>304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 customFormat="false" ht="15" hidden="false" customHeight="false" outlineLevel="0" collapsed="false">
      <c r="A95" s="30" t="n">
        <v>91</v>
      </c>
      <c r="B95" s="13"/>
      <c r="C95" s="13"/>
      <c r="D95" s="13" t="n">
        <v>12</v>
      </c>
      <c r="E95" s="47" t="str">
        <f aca="false">IFERROR(INDEX(Cores!$B$5:$B$21,MATCH(D95,Cores!$A$5:$A$21,0)),"")</f>
        <v>Turquesa</v>
      </c>
      <c r="F95" s="13" t="s">
        <v>296</v>
      </c>
      <c r="G95" s="13" t="s">
        <v>305</v>
      </c>
      <c r="H95" s="13" t="s">
        <v>298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</row>
    <row r="96" customFormat="false" ht="15" hidden="false" customHeight="false" outlineLevel="0" collapsed="false">
      <c r="A96" s="30" t="n">
        <v>92</v>
      </c>
      <c r="B96" s="13"/>
      <c r="C96" s="13"/>
      <c r="D96" s="13" t="n">
        <v>12</v>
      </c>
      <c r="E96" s="47" t="str">
        <f aca="false">IFERROR(INDEX(Cores!$B$5:$B$21,MATCH(D96,Cores!$A$5:$A$21,0)),"")</f>
        <v>Turquesa</v>
      </c>
      <c r="F96" s="13" t="s">
        <v>296</v>
      </c>
      <c r="G96" s="13" t="s">
        <v>305</v>
      </c>
      <c r="H96" s="13" t="s">
        <v>304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</row>
    <row r="97" customFormat="false" ht="15" hidden="false" customHeight="false" outlineLevel="0" collapsed="false">
      <c r="A97" s="30" t="n">
        <v>93</v>
      </c>
      <c r="B97" s="13"/>
      <c r="C97" s="13"/>
      <c r="D97" s="13" t="n">
        <v>12</v>
      </c>
      <c r="E97" s="47" t="str">
        <f aca="false">IFERROR(INDEX(Cores!$B$5:$B$21,MATCH(D97,Cores!$A$5:$A$21,0)),"")</f>
        <v>Turquesa</v>
      </c>
      <c r="F97" s="13" t="s">
        <v>306</v>
      </c>
      <c r="G97" s="13" t="s">
        <v>297</v>
      </c>
      <c r="H97" s="13" t="s">
        <v>298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 customFormat="false" ht="15" hidden="false" customHeight="false" outlineLevel="0" collapsed="false">
      <c r="A98" s="30" t="n">
        <v>94</v>
      </c>
      <c r="B98" s="13"/>
      <c r="C98" s="13"/>
      <c r="D98" s="13" t="n">
        <v>12</v>
      </c>
      <c r="E98" s="47" t="str">
        <f aca="false">IFERROR(INDEX(Cores!$B$5:$B$21,MATCH(D98,Cores!$A$5:$A$21,0)),"")</f>
        <v>Turquesa</v>
      </c>
      <c r="F98" s="13" t="s">
        <v>306</v>
      </c>
      <c r="G98" s="13" t="s">
        <v>297</v>
      </c>
      <c r="H98" s="13" t="s">
        <v>304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 customFormat="false" ht="15" hidden="false" customHeight="false" outlineLevel="0" collapsed="false">
      <c r="A99" s="30" t="n">
        <v>95</v>
      </c>
      <c r="B99" s="13"/>
      <c r="C99" s="13"/>
      <c r="D99" s="13" t="n">
        <v>12</v>
      </c>
      <c r="E99" s="47" t="str">
        <f aca="false">IFERROR(INDEX(Cores!$B$5:$B$21,MATCH(D99,Cores!$A$5:$A$21,0)),"")</f>
        <v>Turquesa</v>
      </c>
      <c r="F99" s="13" t="s">
        <v>306</v>
      </c>
      <c r="G99" s="13" t="s">
        <v>305</v>
      </c>
      <c r="H99" s="13" t="s">
        <v>298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</row>
    <row r="100" customFormat="false" ht="15" hidden="false" customHeight="false" outlineLevel="0" collapsed="false">
      <c r="A100" s="30" t="n">
        <v>96</v>
      </c>
      <c r="B100" s="13"/>
      <c r="C100" s="13"/>
      <c r="D100" s="13" t="n">
        <v>12</v>
      </c>
      <c r="E100" s="47" t="str">
        <f aca="false">IFERROR(INDEX(Cores!$B$5:$B$21,MATCH(D100,Cores!$A$5:$A$21,0)),"")</f>
        <v>Turquesa</v>
      </c>
      <c r="F100" s="13" t="s">
        <v>306</v>
      </c>
      <c r="G100" s="13" t="s">
        <v>305</v>
      </c>
      <c r="H100" s="13" t="s">
        <v>304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 customFormat="false" ht="15" hidden="false" customHeight="false" outlineLevel="0" collapsed="false">
      <c r="A101" s="30" t="n">
        <v>97</v>
      </c>
      <c r="B101" s="13"/>
      <c r="C101" s="13"/>
      <c r="D101" s="13" t="n">
        <v>13</v>
      </c>
      <c r="E101" s="47" t="str">
        <f aca="false">IFERROR(INDEX(Cores!$B$5:$B$21,MATCH(D101,Cores!$A$5:$A$21,0)),"")</f>
        <v>Amarelo</v>
      </c>
      <c r="F101" s="13" t="s">
        <v>296</v>
      </c>
      <c r="G101" s="13" t="s">
        <v>297</v>
      </c>
      <c r="H101" s="13" t="s">
        <v>298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 customFormat="false" ht="15" hidden="false" customHeight="false" outlineLevel="0" collapsed="false">
      <c r="A102" s="30" t="n">
        <v>98</v>
      </c>
      <c r="B102" s="13"/>
      <c r="C102" s="13"/>
      <c r="D102" s="13" t="n">
        <v>13</v>
      </c>
      <c r="E102" s="47" t="str">
        <f aca="false">IFERROR(INDEX(Cores!$B$5:$B$21,MATCH(D102,Cores!$A$5:$A$21,0)),"")</f>
        <v>Amarelo</v>
      </c>
      <c r="F102" s="13" t="s">
        <v>296</v>
      </c>
      <c r="G102" s="13" t="s">
        <v>297</v>
      </c>
      <c r="H102" s="13" t="s">
        <v>304</v>
      </c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 customFormat="false" ht="15" hidden="false" customHeight="false" outlineLevel="0" collapsed="false">
      <c r="A103" s="30" t="n">
        <v>99</v>
      </c>
      <c r="B103" s="13"/>
      <c r="C103" s="13"/>
      <c r="D103" s="13" t="n">
        <v>13</v>
      </c>
      <c r="E103" s="47" t="str">
        <f aca="false">IFERROR(INDEX(Cores!$B$5:$B$21,MATCH(D103,Cores!$A$5:$A$21,0)),"")</f>
        <v>Amarelo</v>
      </c>
      <c r="F103" s="13" t="s">
        <v>296</v>
      </c>
      <c r="G103" s="13" t="s">
        <v>305</v>
      </c>
      <c r="H103" s="13" t="s">
        <v>298</v>
      </c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 customFormat="false" ht="15" hidden="false" customHeight="false" outlineLevel="0" collapsed="false">
      <c r="A104" s="30" t="n">
        <v>100</v>
      </c>
      <c r="B104" s="13"/>
      <c r="C104" s="13"/>
      <c r="D104" s="13" t="n">
        <v>13</v>
      </c>
      <c r="E104" s="47" t="str">
        <f aca="false">IFERROR(INDEX(Cores!$B$5:$B$21,MATCH(D104,Cores!$A$5:$A$21,0)),"")</f>
        <v>Amarelo</v>
      </c>
      <c r="F104" s="13" t="s">
        <v>296</v>
      </c>
      <c r="G104" s="13" t="s">
        <v>305</v>
      </c>
      <c r="H104" s="13" t="s">
        <v>304</v>
      </c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 customFormat="false" ht="15" hidden="false" customHeight="false" outlineLevel="0" collapsed="false">
      <c r="A105" s="30" t="n">
        <v>101</v>
      </c>
      <c r="B105" s="13"/>
      <c r="C105" s="13"/>
      <c r="D105" s="13" t="n">
        <v>13</v>
      </c>
      <c r="E105" s="47" t="str">
        <f aca="false">IFERROR(INDEX(Cores!$B$5:$B$21,MATCH(D105,Cores!$A$5:$A$21,0)),"")</f>
        <v>Amarelo</v>
      </c>
      <c r="F105" s="13" t="s">
        <v>306</v>
      </c>
      <c r="G105" s="13" t="s">
        <v>297</v>
      </c>
      <c r="H105" s="13" t="s">
        <v>298</v>
      </c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 customFormat="false" ht="15" hidden="false" customHeight="false" outlineLevel="0" collapsed="false">
      <c r="A106" s="30" t="n">
        <v>102</v>
      </c>
      <c r="B106" s="13"/>
      <c r="C106" s="13"/>
      <c r="D106" s="13" t="n">
        <v>13</v>
      </c>
      <c r="E106" s="47" t="str">
        <f aca="false">IFERROR(INDEX(Cores!$B$5:$B$21,MATCH(D106,Cores!$A$5:$A$21,0)),"")</f>
        <v>Amarelo</v>
      </c>
      <c r="F106" s="13" t="s">
        <v>306</v>
      </c>
      <c r="G106" s="13" t="s">
        <v>297</v>
      </c>
      <c r="H106" s="13" t="s">
        <v>304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 customFormat="false" ht="15" hidden="false" customHeight="false" outlineLevel="0" collapsed="false">
      <c r="A107" s="30" t="n">
        <v>103</v>
      </c>
      <c r="B107" s="13"/>
      <c r="C107" s="13"/>
      <c r="D107" s="13" t="n">
        <v>13</v>
      </c>
      <c r="E107" s="47" t="str">
        <f aca="false">IFERROR(INDEX(Cores!$B$5:$B$21,MATCH(D107,Cores!$A$5:$A$21,0)),"")</f>
        <v>Amarelo</v>
      </c>
      <c r="F107" s="13" t="s">
        <v>306</v>
      </c>
      <c r="G107" s="13" t="s">
        <v>305</v>
      </c>
      <c r="H107" s="13" t="s">
        <v>298</v>
      </c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</row>
    <row r="108" customFormat="false" ht="15" hidden="false" customHeight="false" outlineLevel="0" collapsed="false">
      <c r="A108" s="30" t="n">
        <v>104</v>
      </c>
      <c r="B108" s="13"/>
      <c r="C108" s="13"/>
      <c r="D108" s="13" t="n">
        <v>13</v>
      </c>
      <c r="E108" s="47" t="str">
        <f aca="false">IFERROR(INDEX(Cores!$B$5:$B$21,MATCH(D108,Cores!$A$5:$A$21,0)),"")</f>
        <v>Amarelo</v>
      </c>
      <c r="F108" s="13" t="s">
        <v>306</v>
      </c>
      <c r="G108" s="13" t="s">
        <v>305</v>
      </c>
      <c r="H108" s="13" t="s">
        <v>304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 customFormat="false" ht="15" hidden="false" customHeight="false" outlineLevel="0" collapsed="false">
      <c r="A109" s="30" t="n">
        <v>105</v>
      </c>
      <c r="B109" s="13"/>
      <c r="C109" s="13"/>
      <c r="D109" s="13" t="n">
        <v>14</v>
      </c>
      <c r="E109" s="47" t="str">
        <f aca="false">IFERROR(INDEX(Cores!$B$5:$B$21,MATCH(D109,Cores!$A$5:$A$21,0)),"")</f>
        <v>Rosa coral</v>
      </c>
      <c r="F109" s="13" t="s">
        <v>296</v>
      </c>
      <c r="G109" s="13" t="s">
        <v>297</v>
      </c>
      <c r="H109" s="13" t="s">
        <v>298</v>
      </c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 customFormat="false" ht="15" hidden="false" customHeight="false" outlineLevel="0" collapsed="false">
      <c r="A110" s="30" t="n">
        <v>106</v>
      </c>
      <c r="B110" s="13"/>
      <c r="C110" s="13"/>
      <c r="D110" s="13" t="n">
        <v>14</v>
      </c>
      <c r="E110" s="47" t="str">
        <f aca="false">IFERROR(INDEX(Cores!$B$5:$B$21,MATCH(D110,Cores!$A$5:$A$21,0)),"")</f>
        <v>Rosa coral</v>
      </c>
      <c r="F110" s="13" t="s">
        <v>296</v>
      </c>
      <c r="G110" s="13" t="s">
        <v>297</v>
      </c>
      <c r="H110" s="13" t="s">
        <v>304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 customFormat="false" ht="15" hidden="false" customHeight="false" outlineLevel="0" collapsed="false">
      <c r="A111" s="30" t="n">
        <v>107</v>
      </c>
      <c r="B111" s="13"/>
      <c r="C111" s="13"/>
      <c r="D111" s="13" t="n">
        <v>14</v>
      </c>
      <c r="E111" s="47" t="str">
        <f aca="false">IFERROR(INDEX(Cores!$B$5:$B$21,MATCH(D111,Cores!$A$5:$A$21,0)),"")</f>
        <v>Rosa coral</v>
      </c>
      <c r="F111" s="13" t="s">
        <v>296</v>
      </c>
      <c r="G111" s="13" t="s">
        <v>305</v>
      </c>
      <c r="H111" s="13" t="s">
        <v>298</v>
      </c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 customFormat="false" ht="15" hidden="false" customHeight="false" outlineLevel="0" collapsed="false">
      <c r="A112" s="30" t="n">
        <v>108</v>
      </c>
      <c r="B112" s="13"/>
      <c r="C112" s="13"/>
      <c r="D112" s="13" t="n">
        <v>14</v>
      </c>
      <c r="E112" s="47" t="str">
        <f aca="false">IFERROR(INDEX(Cores!$B$5:$B$21,MATCH(D112,Cores!$A$5:$A$21,0)),"")</f>
        <v>Rosa coral</v>
      </c>
      <c r="F112" s="13" t="s">
        <v>296</v>
      </c>
      <c r="G112" s="13" t="s">
        <v>305</v>
      </c>
      <c r="H112" s="13" t="s">
        <v>304</v>
      </c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 customFormat="false" ht="15" hidden="false" customHeight="false" outlineLevel="0" collapsed="false">
      <c r="A113" s="30" t="n">
        <v>109</v>
      </c>
      <c r="B113" s="13"/>
      <c r="C113" s="13"/>
      <c r="D113" s="13" t="n">
        <v>14</v>
      </c>
      <c r="E113" s="47" t="str">
        <f aca="false">IFERROR(INDEX(Cores!$B$5:$B$21,MATCH(D113,Cores!$A$5:$A$21,0)),"")</f>
        <v>Rosa coral</v>
      </c>
      <c r="F113" s="13" t="s">
        <v>306</v>
      </c>
      <c r="G113" s="13" t="s">
        <v>297</v>
      </c>
      <c r="H113" s="13" t="s">
        <v>298</v>
      </c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 customFormat="false" ht="15" hidden="false" customHeight="false" outlineLevel="0" collapsed="false">
      <c r="A114" s="30" t="n">
        <v>110</v>
      </c>
      <c r="B114" s="13"/>
      <c r="C114" s="13"/>
      <c r="D114" s="13" t="n">
        <v>14</v>
      </c>
      <c r="E114" s="47" t="str">
        <f aca="false">IFERROR(INDEX(Cores!$B$5:$B$21,MATCH(D114,Cores!$A$5:$A$21,0)),"")</f>
        <v>Rosa coral</v>
      </c>
      <c r="F114" s="13" t="s">
        <v>306</v>
      </c>
      <c r="G114" s="13" t="s">
        <v>297</v>
      </c>
      <c r="H114" s="13" t="s">
        <v>304</v>
      </c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</row>
    <row r="115" customFormat="false" ht="15" hidden="false" customHeight="false" outlineLevel="0" collapsed="false">
      <c r="A115" s="30" t="n">
        <v>111</v>
      </c>
      <c r="B115" s="13"/>
      <c r="C115" s="13"/>
      <c r="D115" s="13" t="n">
        <v>14</v>
      </c>
      <c r="E115" s="47" t="str">
        <f aca="false">IFERROR(INDEX(Cores!$B$5:$B$21,MATCH(D115,Cores!$A$5:$A$21,0)),"")</f>
        <v>Rosa coral</v>
      </c>
      <c r="F115" s="13" t="s">
        <v>306</v>
      </c>
      <c r="G115" s="13" t="s">
        <v>305</v>
      </c>
      <c r="H115" s="13" t="s">
        <v>298</v>
      </c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 customFormat="false" ht="15" hidden="false" customHeight="false" outlineLevel="0" collapsed="false">
      <c r="A116" s="30" t="n">
        <v>112</v>
      </c>
      <c r="B116" s="13"/>
      <c r="C116" s="13"/>
      <c r="D116" s="13" t="n">
        <v>14</v>
      </c>
      <c r="E116" s="47" t="str">
        <f aca="false">IFERROR(INDEX(Cores!$B$5:$B$21,MATCH(D116,Cores!$A$5:$A$21,0)),"")</f>
        <v>Rosa coral</v>
      </c>
      <c r="F116" s="13" t="s">
        <v>306</v>
      </c>
      <c r="G116" s="13" t="s">
        <v>305</v>
      </c>
      <c r="H116" s="13" t="s">
        <v>304</v>
      </c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 customFormat="false" ht="15" hidden="false" customHeight="false" outlineLevel="0" collapsed="false">
      <c r="A117" s="30" t="n">
        <v>113</v>
      </c>
      <c r="B117" s="13"/>
      <c r="C117" s="13"/>
      <c r="D117" s="13" t="n">
        <v>15</v>
      </c>
      <c r="E117" s="47" t="str">
        <f aca="false">IFERROR(INDEX(Cores!$B$5:$B$21,MATCH(D117,Cores!$A$5:$A$21,0)),"")</f>
        <v>Ferrugem</v>
      </c>
      <c r="F117" s="13" t="s">
        <v>296</v>
      </c>
      <c r="G117" s="13" t="s">
        <v>297</v>
      </c>
      <c r="H117" s="13" t="s">
        <v>298</v>
      </c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 customFormat="false" ht="15" hidden="false" customHeight="false" outlineLevel="0" collapsed="false">
      <c r="A118" s="30" t="n">
        <v>114</v>
      </c>
      <c r="B118" s="13"/>
      <c r="C118" s="13"/>
      <c r="D118" s="13" t="n">
        <v>15</v>
      </c>
      <c r="E118" s="47" t="str">
        <f aca="false">IFERROR(INDEX(Cores!$B$5:$B$21,MATCH(D118,Cores!$A$5:$A$21,0)),"")</f>
        <v>Ferrugem</v>
      </c>
      <c r="F118" s="13" t="s">
        <v>296</v>
      </c>
      <c r="G118" s="13" t="s">
        <v>297</v>
      </c>
      <c r="H118" s="13" t="s">
        <v>304</v>
      </c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 customFormat="false" ht="15" hidden="false" customHeight="false" outlineLevel="0" collapsed="false">
      <c r="A119" s="30" t="n">
        <v>115</v>
      </c>
      <c r="B119" s="13"/>
      <c r="C119" s="13"/>
      <c r="D119" s="13" t="n">
        <v>15</v>
      </c>
      <c r="E119" s="47" t="str">
        <f aca="false">IFERROR(INDEX(Cores!$B$5:$B$21,MATCH(D119,Cores!$A$5:$A$21,0)),"")</f>
        <v>Ferrugem</v>
      </c>
      <c r="F119" s="13" t="s">
        <v>296</v>
      </c>
      <c r="G119" s="13" t="s">
        <v>305</v>
      </c>
      <c r="H119" s="13" t="s">
        <v>298</v>
      </c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 customFormat="false" ht="15" hidden="false" customHeight="false" outlineLevel="0" collapsed="false">
      <c r="A120" s="30" t="n">
        <v>116</v>
      </c>
      <c r="B120" s="13"/>
      <c r="C120" s="13"/>
      <c r="D120" s="13" t="n">
        <v>15</v>
      </c>
      <c r="E120" s="47" t="str">
        <f aca="false">IFERROR(INDEX(Cores!$B$5:$B$21,MATCH(D120,Cores!$A$5:$A$21,0)),"")</f>
        <v>Ferrugem</v>
      </c>
      <c r="F120" s="13" t="s">
        <v>296</v>
      </c>
      <c r="G120" s="13" t="s">
        <v>305</v>
      </c>
      <c r="H120" s="13" t="s">
        <v>304</v>
      </c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</row>
    <row r="121" customFormat="false" ht="15" hidden="false" customHeight="false" outlineLevel="0" collapsed="false">
      <c r="A121" s="30" t="n">
        <v>117</v>
      </c>
      <c r="B121" s="13"/>
      <c r="C121" s="13"/>
      <c r="D121" s="13" t="n">
        <v>15</v>
      </c>
      <c r="E121" s="47" t="str">
        <f aca="false">IFERROR(INDEX(Cores!$B$5:$B$21,MATCH(D121,Cores!$A$5:$A$21,0)),"")</f>
        <v>Ferrugem</v>
      </c>
      <c r="F121" s="13" t="s">
        <v>306</v>
      </c>
      <c r="G121" s="13" t="s">
        <v>297</v>
      </c>
      <c r="H121" s="13" t="s">
        <v>298</v>
      </c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 customFormat="false" ht="15" hidden="false" customHeight="false" outlineLevel="0" collapsed="false">
      <c r="A122" s="30" t="n">
        <v>118</v>
      </c>
      <c r="B122" s="13"/>
      <c r="C122" s="13"/>
      <c r="D122" s="13" t="n">
        <v>15</v>
      </c>
      <c r="E122" s="47" t="str">
        <f aca="false">IFERROR(INDEX(Cores!$B$5:$B$21,MATCH(D122,Cores!$A$5:$A$21,0)),"")</f>
        <v>Ferrugem</v>
      </c>
      <c r="F122" s="13" t="s">
        <v>306</v>
      </c>
      <c r="G122" s="13" t="s">
        <v>297</v>
      </c>
      <c r="H122" s="13" t="s">
        <v>304</v>
      </c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 customFormat="false" ht="15" hidden="false" customHeight="false" outlineLevel="0" collapsed="false">
      <c r="A123" s="30" t="n">
        <v>119</v>
      </c>
      <c r="B123" s="13"/>
      <c r="C123" s="13"/>
      <c r="D123" s="13" t="n">
        <v>15</v>
      </c>
      <c r="E123" s="47" t="str">
        <f aca="false">IFERROR(INDEX(Cores!$B$5:$B$21,MATCH(D123,Cores!$A$5:$A$21,0)),"")</f>
        <v>Ferrugem</v>
      </c>
      <c r="F123" s="13" t="s">
        <v>306</v>
      </c>
      <c r="G123" s="13" t="s">
        <v>305</v>
      </c>
      <c r="H123" s="13" t="s">
        <v>298</v>
      </c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 customFormat="false" ht="15" hidden="false" customHeight="false" outlineLevel="0" collapsed="false">
      <c r="A124" s="30" t="n">
        <v>120</v>
      </c>
      <c r="B124" s="13"/>
      <c r="C124" s="13"/>
      <c r="D124" s="13" t="n">
        <v>15</v>
      </c>
      <c r="E124" s="47" t="str">
        <f aca="false">IFERROR(INDEX(Cores!$B$5:$B$21,MATCH(D124,Cores!$A$5:$A$21,0)),"")</f>
        <v>Ferrugem</v>
      </c>
      <c r="F124" s="13" t="s">
        <v>306</v>
      </c>
      <c r="G124" s="13" t="s">
        <v>305</v>
      </c>
      <c r="H124" s="13" t="s">
        <v>304</v>
      </c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 customFormat="false" ht="15" hidden="false" customHeight="false" outlineLevel="0" collapsed="false">
      <c r="A125" s="30" t="n">
        <v>121</v>
      </c>
      <c r="B125" s="13"/>
      <c r="C125" s="13"/>
      <c r="D125" s="13" t="n">
        <v>16</v>
      </c>
      <c r="E125" s="47" t="str">
        <f aca="false">IFERROR(INDEX(Cores!$B$5:$B$21,MATCH(D125,Cores!$A$5:$A$21,0)),"")</f>
        <v>Azul flutuante</v>
      </c>
      <c r="F125" s="13" t="s">
        <v>296</v>
      </c>
      <c r="G125" s="13" t="s">
        <v>297</v>
      </c>
      <c r="H125" s="13" t="s">
        <v>298</v>
      </c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 customFormat="false" ht="15" hidden="false" customHeight="false" outlineLevel="0" collapsed="false">
      <c r="A126" s="30" t="n">
        <v>122</v>
      </c>
      <c r="B126" s="13"/>
      <c r="C126" s="13"/>
      <c r="D126" s="13" t="n">
        <v>16</v>
      </c>
      <c r="E126" s="47" t="str">
        <f aca="false">IFERROR(INDEX(Cores!$B$5:$B$21,MATCH(D126,Cores!$A$5:$A$21,0)),"")</f>
        <v>Azul flutuante</v>
      </c>
      <c r="F126" s="13" t="s">
        <v>296</v>
      </c>
      <c r="G126" s="13" t="s">
        <v>297</v>
      </c>
      <c r="H126" s="13" t="s">
        <v>304</v>
      </c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</row>
    <row r="127" customFormat="false" ht="15" hidden="false" customHeight="false" outlineLevel="0" collapsed="false">
      <c r="A127" s="30" t="n">
        <v>123</v>
      </c>
      <c r="B127" s="13"/>
      <c r="C127" s="13"/>
      <c r="D127" s="13" t="n">
        <v>16</v>
      </c>
      <c r="E127" s="47" t="str">
        <f aca="false">IFERROR(INDEX(Cores!$B$5:$B$21,MATCH(D127,Cores!$A$5:$A$21,0)),"")</f>
        <v>Azul flutuante</v>
      </c>
      <c r="F127" s="13" t="s">
        <v>296</v>
      </c>
      <c r="G127" s="13" t="s">
        <v>305</v>
      </c>
      <c r="H127" s="13" t="s">
        <v>298</v>
      </c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 customFormat="false" ht="15" hidden="false" customHeight="false" outlineLevel="0" collapsed="false">
      <c r="A128" s="30" t="n">
        <v>124</v>
      </c>
      <c r="B128" s="13"/>
      <c r="C128" s="13"/>
      <c r="D128" s="13" t="n">
        <v>16</v>
      </c>
      <c r="E128" s="47" t="str">
        <f aca="false">IFERROR(INDEX(Cores!$B$5:$B$21,MATCH(D128,Cores!$A$5:$A$21,0)),"")</f>
        <v>Azul flutuante</v>
      </c>
      <c r="F128" s="13" t="s">
        <v>296</v>
      </c>
      <c r="G128" s="13" t="s">
        <v>305</v>
      </c>
      <c r="H128" s="13" t="s">
        <v>304</v>
      </c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 customFormat="false" ht="15" hidden="false" customHeight="false" outlineLevel="0" collapsed="false">
      <c r="A129" s="30" t="n">
        <v>125</v>
      </c>
      <c r="B129" s="13"/>
      <c r="C129" s="13"/>
      <c r="D129" s="13" t="n">
        <v>16</v>
      </c>
      <c r="E129" s="47" t="str">
        <f aca="false">IFERROR(INDEX(Cores!$B$5:$B$21,MATCH(D129,Cores!$A$5:$A$21,0)),"")</f>
        <v>Azul flutuante</v>
      </c>
      <c r="F129" s="13" t="s">
        <v>306</v>
      </c>
      <c r="G129" s="13" t="s">
        <v>297</v>
      </c>
      <c r="H129" s="13" t="s">
        <v>298</v>
      </c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 customFormat="false" ht="15" hidden="false" customHeight="false" outlineLevel="0" collapsed="false">
      <c r="A130" s="30" t="n">
        <v>126</v>
      </c>
      <c r="B130" s="13"/>
      <c r="C130" s="13"/>
      <c r="D130" s="13" t="n">
        <v>16</v>
      </c>
      <c r="E130" s="47" t="str">
        <f aca="false">IFERROR(INDEX(Cores!$B$5:$B$21,MATCH(D130,Cores!$A$5:$A$21,0)),"")</f>
        <v>Azul flutuante</v>
      </c>
      <c r="F130" s="13" t="s">
        <v>306</v>
      </c>
      <c r="G130" s="13" t="s">
        <v>297</v>
      </c>
      <c r="H130" s="13" t="s">
        <v>304</v>
      </c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 customFormat="false" ht="15" hidden="false" customHeight="false" outlineLevel="0" collapsed="false">
      <c r="A131" s="30" t="n">
        <v>127</v>
      </c>
      <c r="B131" s="13"/>
      <c r="C131" s="13"/>
      <c r="D131" s="13" t="n">
        <v>16</v>
      </c>
      <c r="E131" s="47" t="str">
        <f aca="false">IFERROR(INDEX(Cores!$B$5:$B$21,MATCH(D131,Cores!$A$5:$A$21,0)),"")</f>
        <v>Azul flutuante</v>
      </c>
      <c r="F131" s="13" t="s">
        <v>306</v>
      </c>
      <c r="G131" s="13" t="s">
        <v>305</v>
      </c>
      <c r="H131" s="13" t="s">
        <v>298</v>
      </c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 customFormat="false" ht="15" hidden="false" customHeight="false" outlineLevel="0" collapsed="false">
      <c r="A132" s="30" t="n">
        <v>128</v>
      </c>
      <c r="B132" s="13"/>
      <c r="C132" s="13"/>
      <c r="D132" s="13" t="n">
        <v>16</v>
      </c>
      <c r="E132" s="47" t="str">
        <f aca="false">IFERROR(INDEX(Cores!$B$5:$B$21,MATCH(D132,Cores!$A$5:$A$21,0)),"")</f>
        <v>Azul flutuante</v>
      </c>
      <c r="F132" s="13" t="s">
        <v>306</v>
      </c>
      <c r="G132" s="13" t="s">
        <v>305</v>
      </c>
      <c r="H132" s="13" t="s">
        <v>304</v>
      </c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</row>
    <row r="133" customFormat="false" ht="15" hidden="false" customHeight="false" outlineLevel="0" collapsed="false">
      <c r="A133" s="30" t="n">
        <v>129</v>
      </c>
      <c r="B133" s="13"/>
      <c r="C133" s="13"/>
      <c r="D133" s="13" t="n">
        <v>17</v>
      </c>
      <c r="E133" s="47" t="str">
        <f aca="false">IFERROR(INDEX(Cores!$B$5:$B$21,MATCH(D133,Cores!$A$5:$A$21,0)),"")</f>
        <v>Imitação de cinza</v>
      </c>
      <c r="F133" s="13" t="s">
        <v>296</v>
      </c>
      <c r="G133" s="13" t="s">
        <v>297</v>
      </c>
      <c r="H133" s="13" t="s">
        <v>298</v>
      </c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 customFormat="false" ht="15" hidden="false" customHeight="false" outlineLevel="0" collapsed="false">
      <c r="A134" s="30" t="n">
        <v>130</v>
      </c>
      <c r="B134" s="13"/>
      <c r="C134" s="13"/>
      <c r="D134" s="13" t="n">
        <v>17</v>
      </c>
      <c r="E134" s="47" t="str">
        <f aca="false">IFERROR(INDEX(Cores!$B$5:$B$21,MATCH(D134,Cores!$A$5:$A$21,0)),"")</f>
        <v>Imitação de cinza</v>
      </c>
      <c r="F134" s="13" t="s">
        <v>296</v>
      </c>
      <c r="G134" s="13" t="s">
        <v>297</v>
      </c>
      <c r="H134" s="13" t="s">
        <v>304</v>
      </c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 customFormat="false" ht="15" hidden="false" customHeight="false" outlineLevel="0" collapsed="false">
      <c r="A135" s="30" t="n">
        <v>131</v>
      </c>
      <c r="B135" s="13"/>
      <c r="C135" s="13"/>
      <c r="D135" s="13" t="n">
        <v>17</v>
      </c>
      <c r="E135" s="47" t="str">
        <f aca="false">IFERROR(INDEX(Cores!$B$5:$B$21,MATCH(D135,Cores!$A$5:$A$21,0)),"")</f>
        <v>Imitação de cinza</v>
      </c>
      <c r="F135" s="13" t="s">
        <v>296</v>
      </c>
      <c r="G135" s="13" t="s">
        <v>305</v>
      </c>
      <c r="H135" s="13" t="s">
        <v>298</v>
      </c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 customFormat="false" ht="15" hidden="false" customHeight="false" outlineLevel="0" collapsed="false">
      <c r="A136" s="30" t="n">
        <v>132</v>
      </c>
      <c r="B136" s="13"/>
      <c r="C136" s="13"/>
      <c r="D136" s="13" t="n">
        <v>17</v>
      </c>
      <c r="E136" s="47" t="str">
        <f aca="false">IFERROR(INDEX(Cores!$B$5:$B$21,MATCH(D136,Cores!$A$5:$A$21,0)),"")</f>
        <v>Imitação de cinza</v>
      </c>
      <c r="F136" s="13" t="s">
        <v>296</v>
      </c>
      <c r="G136" s="13" t="s">
        <v>305</v>
      </c>
      <c r="H136" s="13" t="s">
        <v>304</v>
      </c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 customFormat="false" ht="15" hidden="false" customHeight="false" outlineLevel="0" collapsed="false">
      <c r="A137" s="30" t="n">
        <v>133</v>
      </c>
      <c r="B137" s="13"/>
      <c r="C137" s="13"/>
      <c r="D137" s="13" t="n">
        <v>17</v>
      </c>
      <c r="E137" s="47" t="str">
        <f aca="false">IFERROR(INDEX(Cores!$B$5:$B$21,MATCH(D137,Cores!$A$5:$A$21,0)),"")</f>
        <v>Imitação de cinza</v>
      </c>
      <c r="F137" s="13" t="s">
        <v>306</v>
      </c>
      <c r="G137" s="13" t="s">
        <v>297</v>
      </c>
      <c r="H137" s="13" t="s">
        <v>298</v>
      </c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</row>
    <row r="138" customFormat="false" ht="15" hidden="false" customHeight="false" outlineLevel="0" collapsed="false">
      <c r="A138" s="30" t="n">
        <v>134</v>
      </c>
      <c r="B138" s="13"/>
      <c r="C138" s="13"/>
      <c r="D138" s="13" t="n">
        <v>17</v>
      </c>
      <c r="E138" s="47" t="str">
        <f aca="false">IFERROR(INDEX(Cores!$B$5:$B$21,MATCH(D138,Cores!$A$5:$A$21,0)),"")</f>
        <v>Imitação de cinza</v>
      </c>
      <c r="F138" s="13" t="s">
        <v>306</v>
      </c>
      <c r="G138" s="13" t="s">
        <v>297</v>
      </c>
      <c r="H138" s="13" t="s">
        <v>304</v>
      </c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 customFormat="false" ht="15" hidden="false" customHeight="false" outlineLevel="0" collapsed="false">
      <c r="A139" s="30" t="n">
        <v>135</v>
      </c>
      <c r="B139" s="13"/>
      <c r="C139" s="13"/>
      <c r="D139" s="13" t="n">
        <v>17</v>
      </c>
      <c r="E139" s="47" t="str">
        <f aca="false">IFERROR(INDEX(Cores!$B$5:$B$21,MATCH(D139,Cores!$A$5:$A$21,0)),"")</f>
        <v>Imitação de cinza</v>
      </c>
      <c r="F139" s="13" t="s">
        <v>306</v>
      </c>
      <c r="G139" s="13" t="s">
        <v>305</v>
      </c>
      <c r="H139" s="13" t="s">
        <v>298</v>
      </c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 customFormat="false" ht="15" hidden="false" customHeight="false" outlineLevel="0" collapsed="false">
      <c r="A140" s="30" t="n">
        <v>136</v>
      </c>
      <c r="B140" s="13"/>
      <c r="C140" s="13"/>
      <c r="D140" s="13" t="n">
        <v>17</v>
      </c>
      <c r="E140" s="47" t="str">
        <f aca="false">IFERROR(INDEX(Cores!$B$5:$B$21,MATCH(D140,Cores!$A$5:$A$21,0)),"")</f>
        <v>Imitação de cinza</v>
      </c>
      <c r="F140" s="13" t="s">
        <v>306</v>
      </c>
      <c r="G140" s="13" t="s">
        <v>305</v>
      </c>
      <c r="H140" s="13" t="s">
        <v>304</v>
      </c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</sheetData>
  <autoFilter ref="A4:S140"/>
  <dataValidations count="3">
    <dataValidation allowBlank="true" errorStyle="stop" operator="between" showDropDown="false" showErrorMessage="false" showInputMessage="false" sqref="I5:I140" type="list">
      <formula1>"Sim,Não,—"</formula1>
      <formula2>0</formula2>
    </dataValidation>
    <dataValidation allowBlank="true" errorStyle="stop" operator="between" showDropDown="false" showErrorMessage="false" showInputMessage="false" sqref="L5:P140" type="list">
      <formula1>"Nenhum,Leve,Forte"</formula1>
      <formula2>0</formula2>
    </dataValidation>
    <dataValidation allowBlank="true" errorStyle="stop" operator="between" showDropDown="false" showErrorMessage="false" showInputMessage="false" sqref="Q5:Q140" type="list">
      <formula1>"Pendente,Aprovado,Reprovado,N/A"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9" min="7" style="0" width="11"/>
    <col collapsed="false" customWidth="true" hidden="false" outlineLevel="0" max="10" min="10" style="0" width="14"/>
    <col collapsed="false" customWidth="true" hidden="false" outlineLevel="0" max="12" min="11" style="0" width="11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5" min="15" style="0" width="40"/>
  </cols>
  <sheetData>
    <row r="1" customFormat="false" ht="17.35" hidden="false" customHeight="false" outlineLevel="0" collapsed="false">
      <c r="A1" s="1" t="s">
        <v>307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308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42" hidden="false" customHeight="true" outlineLevel="0" collapsed="false">
      <c r="A4" s="12" t="s">
        <v>280</v>
      </c>
      <c r="B4" s="12" t="s">
        <v>255</v>
      </c>
      <c r="C4" s="12" t="s">
        <v>279</v>
      </c>
      <c r="D4" s="12" t="s">
        <v>309</v>
      </c>
      <c r="E4" s="12" t="s">
        <v>310</v>
      </c>
      <c r="F4" s="12" t="s">
        <v>311</v>
      </c>
      <c r="G4" s="12" t="s">
        <v>312</v>
      </c>
      <c r="H4" s="12" t="s">
        <v>313</v>
      </c>
      <c r="I4" s="12" t="s">
        <v>314</v>
      </c>
      <c r="J4" s="12" t="s">
        <v>315</v>
      </c>
      <c r="K4" s="12" t="s">
        <v>316</v>
      </c>
      <c r="L4" s="12" t="s">
        <v>317</v>
      </c>
      <c r="M4" s="12" t="s">
        <v>318</v>
      </c>
      <c r="N4" s="12" t="s">
        <v>319</v>
      </c>
      <c r="O4" s="12" t="s">
        <v>163</v>
      </c>
    </row>
    <row r="5" customFormat="false" ht="15" hidden="false" customHeight="false" outlineLevel="0" collapsed="false">
      <c r="A5" s="55" t="n">
        <f aca="false">Cores!A5</f>
        <v>1</v>
      </c>
      <c r="B5" s="55" t="str">
        <f aca="false">Cores!B5</f>
        <v>Transparente brilhante</v>
      </c>
      <c r="C5" s="53" t="s">
        <v>295</v>
      </c>
      <c r="D5" s="53" t="s">
        <v>320</v>
      </c>
      <c r="E5" s="56" t="n">
        <v>1.56</v>
      </c>
      <c r="F5" s="53" t="n">
        <v>4</v>
      </c>
      <c r="G5" s="53" t="s">
        <v>300</v>
      </c>
      <c r="H5" s="53" t="s">
        <v>321</v>
      </c>
      <c r="I5" s="54"/>
      <c r="J5" s="53" t="s">
        <v>186</v>
      </c>
      <c r="K5" s="53" t="s">
        <v>322</v>
      </c>
      <c r="L5" s="54"/>
      <c r="M5" s="57"/>
      <c r="N5" s="53" t="s">
        <v>322</v>
      </c>
      <c r="O5" s="53" t="s">
        <v>323</v>
      </c>
    </row>
    <row r="6" customFormat="false" ht="15" hidden="false" customHeight="false" outlineLevel="0" collapsed="false">
      <c r="A6" s="47" t="n">
        <f aca="false">Cores!A6</f>
        <v>2</v>
      </c>
      <c r="B6" s="47" t="str">
        <f aca="false">Cores!B6</f>
        <v>Transparente mate</v>
      </c>
      <c r="C6" s="13"/>
      <c r="D6" s="13"/>
      <c r="E6" s="29"/>
      <c r="F6" s="13"/>
      <c r="G6" s="13"/>
      <c r="H6" s="13"/>
      <c r="I6" s="13"/>
      <c r="J6" s="13"/>
      <c r="K6" s="13"/>
      <c r="L6" s="13"/>
      <c r="M6" s="29"/>
      <c r="N6" s="13"/>
      <c r="O6" s="13"/>
    </row>
    <row r="7" customFormat="false" ht="15" hidden="false" customHeight="false" outlineLevel="0" collapsed="false">
      <c r="A7" s="47" t="n">
        <f aca="false">Cores!A7</f>
        <v>3</v>
      </c>
      <c r="B7" s="47" t="str">
        <f aca="false">Cores!B7</f>
        <v>Branco brilhante</v>
      </c>
      <c r="C7" s="13"/>
      <c r="D7" s="13"/>
      <c r="E7" s="29"/>
      <c r="F7" s="13"/>
      <c r="G7" s="13"/>
      <c r="H7" s="13"/>
      <c r="I7" s="13"/>
      <c r="J7" s="13"/>
      <c r="K7" s="13"/>
      <c r="L7" s="13"/>
      <c r="M7" s="29"/>
      <c r="N7" s="13"/>
      <c r="O7" s="13"/>
    </row>
    <row r="8" customFormat="false" ht="15" hidden="false" customHeight="false" outlineLevel="0" collapsed="false">
      <c r="A8" s="47" t="n">
        <f aca="false">Cores!A8</f>
        <v>4</v>
      </c>
      <c r="B8" s="47" t="str">
        <f aca="false">Cores!B8</f>
        <v>Branco acetinado</v>
      </c>
      <c r="C8" s="13"/>
      <c r="D8" s="13"/>
      <c r="E8" s="29"/>
      <c r="F8" s="13"/>
      <c r="G8" s="13"/>
      <c r="H8" s="13"/>
      <c r="I8" s="13"/>
      <c r="J8" s="13"/>
      <c r="K8" s="13"/>
      <c r="L8" s="13"/>
      <c r="M8" s="29"/>
      <c r="N8" s="13"/>
      <c r="O8" s="13"/>
    </row>
    <row r="9" customFormat="false" ht="15" hidden="false" customHeight="false" outlineLevel="0" collapsed="false">
      <c r="A9" s="47" t="n">
        <f aca="false">Cores!A9</f>
        <v>5</v>
      </c>
      <c r="B9" s="47" t="str">
        <f aca="false">Cores!B9</f>
        <v>Preto brilhante</v>
      </c>
      <c r="C9" s="13"/>
      <c r="D9" s="13"/>
      <c r="E9" s="29"/>
      <c r="F9" s="13"/>
      <c r="G9" s="13"/>
      <c r="H9" s="13"/>
      <c r="I9" s="13"/>
      <c r="J9" s="13"/>
      <c r="K9" s="13"/>
      <c r="L9" s="13"/>
      <c r="M9" s="29"/>
      <c r="N9" s="13"/>
      <c r="O9" s="13"/>
    </row>
    <row r="10" customFormat="false" ht="15" hidden="false" customHeight="false" outlineLevel="0" collapsed="false">
      <c r="A10" s="47" t="n">
        <f aca="false">Cores!A10</f>
        <v>6</v>
      </c>
      <c r="B10" s="47" t="str">
        <f aca="false">Cores!B10</f>
        <v>Tenmoku</v>
      </c>
      <c r="C10" s="13"/>
      <c r="D10" s="13"/>
      <c r="E10" s="29"/>
      <c r="F10" s="13"/>
      <c r="G10" s="13"/>
      <c r="H10" s="13"/>
      <c r="I10" s="13"/>
      <c r="J10" s="13"/>
      <c r="K10" s="13"/>
      <c r="L10" s="13"/>
      <c r="M10" s="29"/>
      <c r="N10" s="13"/>
      <c r="O10" s="13"/>
    </row>
    <row r="11" customFormat="false" ht="15" hidden="false" customHeight="false" outlineLevel="0" collapsed="false">
      <c r="A11" s="47" t="n">
        <f aca="false">Cores!A11</f>
        <v>7</v>
      </c>
      <c r="B11" s="47" t="str">
        <f aca="false">Cores!B11</f>
        <v>Celadon verde</v>
      </c>
      <c r="C11" s="13"/>
      <c r="D11" s="13"/>
      <c r="E11" s="29"/>
      <c r="F11" s="13"/>
      <c r="G11" s="13"/>
      <c r="H11" s="13"/>
      <c r="I11" s="13"/>
      <c r="J11" s="13"/>
      <c r="K11" s="13"/>
      <c r="L11" s="13"/>
      <c r="M11" s="29"/>
      <c r="N11" s="13"/>
      <c r="O11" s="13"/>
    </row>
    <row r="12" customFormat="false" ht="15" hidden="false" customHeight="false" outlineLevel="0" collapsed="false">
      <c r="A12" s="47" t="n">
        <f aca="false">Cores!A12</f>
        <v>8</v>
      </c>
      <c r="B12" s="47" t="str">
        <f aca="false">Cores!B12</f>
        <v>Celadon azul</v>
      </c>
      <c r="C12" s="13"/>
      <c r="D12" s="13"/>
      <c r="E12" s="29"/>
      <c r="F12" s="13"/>
      <c r="G12" s="13"/>
      <c r="H12" s="13"/>
      <c r="I12" s="13"/>
      <c r="J12" s="13"/>
      <c r="K12" s="13"/>
      <c r="L12" s="13"/>
      <c r="M12" s="29"/>
      <c r="N12" s="13"/>
      <c r="O12" s="13"/>
    </row>
    <row r="13" customFormat="false" ht="15" hidden="false" customHeight="false" outlineLevel="0" collapsed="false">
      <c r="A13" s="47" t="n">
        <f aca="false">Cores!A13</f>
        <v>9</v>
      </c>
      <c r="B13" s="47" t="str">
        <f aca="false">Cores!B13</f>
        <v>Rutilo mel</v>
      </c>
      <c r="C13" s="13"/>
      <c r="D13" s="13"/>
      <c r="E13" s="29"/>
      <c r="F13" s="13"/>
      <c r="G13" s="13"/>
      <c r="H13" s="13"/>
      <c r="I13" s="13"/>
      <c r="J13" s="13"/>
      <c r="K13" s="13"/>
      <c r="L13" s="13"/>
      <c r="M13" s="29"/>
      <c r="N13" s="13"/>
      <c r="O13" s="13"/>
    </row>
    <row r="14" customFormat="false" ht="15" hidden="false" customHeight="false" outlineLevel="0" collapsed="false">
      <c r="A14" s="47" t="n">
        <f aca="false">Cores!A14</f>
        <v>10</v>
      </c>
      <c r="B14" s="47" t="str">
        <f aca="false">Cores!B14</f>
        <v>Creme pintalgado</v>
      </c>
      <c r="C14" s="13"/>
      <c r="D14" s="13"/>
      <c r="E14" s="29"/>
      <c r="F14" s="13"/>
      <c r="G14" s="13"/>
      <c r="H14" s="13"/>
      <c r="I14" s="13"/>
      <c r="J14" s="13"/>
      <c r="K14" s="13"/>
      <c r="L14" s="13"/>
      <c r="M14" s="29"/>
      <c r="N14" s="13"/>
      <c r="O14" s="13"/>
    </row>
    <row r="15" customFormat="false" ht="15" hidden="false" customHeight="false" outlineLevel="0" collapsed="false">
      <c r="A15" s="47" t="n">
        <f aca="false">Cores!A15</f>
        <v>11</v>
      </c>
      <c r="B15" s="47" t="str">
        <f aca="false">Cores!B15</f>
        <v>Azul cobalto</v>
      </c>
      <c r="C15" s="13"/>
      <c r="D15" s="13"/>
      <c r="E15" s="29"/>
      <c r="F15" s="13"/>
      <c r="G15" s="13"/>
      <c r="H15" s="13"/>
      <c r="I15" s="13"/>
      <c r="J15" s="13"/>
      <c r="K15" s="13"/>
      <c r="L15" s="13"/>
      <c r="M15" s="29"/>
      <c r="N15" s="13"/>
      <c r="O15" s="13"/>
    </row>
    <row r="16" customFormat="false" ht="15" hidden="false" customHeight="false" outlineLevel="0" collapsed="false">
      <c r="A16" s="47" t="n">
        <f aca="false">Cores!A16</f>
        <v>12</v>
      </c>
      <c r="B16" s="47" t="str">
        <f aca="false">Cores!B16</f>
        <v>Turquesa</v>
      </c>
      <c r="C16" s="13"/>
      <c r="D16" s="13"/>
      <c r="E16" s="29"/>
      <c r="F16" s="13"/>
      <c r="G16" s="13"/>
      <c r="H16" s="13"/>
      <c r="I16" s="13"/>
      <c r="J16" s="13"/>
      <c r="K16" s="13"/>
      <c r="L16" s="13"/>
      <c r="M16" s="29"/>
      <c r="N16" s="13"/>
      <c r="O16" s="13"/>
    </row>
    <row r="17" customFormat="false" ht="15" hidden="false" customHeight="false" outlineLevel="0" collapsed="false">
      <c r="A17" s="47" t="n">
        <f aca="false">Cores!A17</f>
        <v>13</v>
      </c>
      <c r="B17" s="47" t="str">
        <f aca="false">Cores!B17</f>
        <v>Amarelo</v>
      </c>
      <c r="C17" s="13"/>
      <c r="D17" s="13"/>
      <c r="E17" s="29"/>
      <c r="F17" s="13"/>
      <c r="G17" s="13"/>
      <c r="H17" s="13"/>
      <c r="I17" s="13"/>
      <c r="J17" s="13"/>
      <c r="K17" s="13"/>
      <c r="L17" s="13"/>
      <c r="M17" s="29"/>
      <c r="N17" s="13"/>
      <c r="O17" s="13"/>
    </row>
    <row r="18" customFormat="false" ht="15" hidden="false" customHeight="false" outlineLevel="0" collapsed="false">
      <c r="A18" s="47" t="n">
        <f aca="false">Cores!A18</f>
        <v>14</v>
      </c>
      <c r="B18" s="47" t="str">
        <f aca="false">Cores!B18</f>
        <v>Rosa coral</v>
      </c>
      <c r="C18" s="13"/>
      <c r="D18" s="13"/>
      <c r="E18" s="29"/>
      <c r="F18" s="13"/>
      <c r="G18" s="13"/>
      <c r="H18" s="13"/>
      <c r="I18" s="13"/>
      <c r="J18" s="13"/>
      <c r="K18" s="13"/>
      <c r="L18" s="13"/>
      <c r="M18" s="29"/>
      <c r="N18" s="13"/>
      <c r="O18" s="13"/>
    </row>
    <row r="19" customFormat="false" ht="15" hidden="false" customHeight="false" outlineLevel="0" collapsed="false">
      <c r="A19" s="47" t="n">
        <f aca="false">Cores!A19</f>
        <v>15</v>
      </c>
      <c r="B19" s="47" t="str">
        <f aca="false">Cores!B19</f>
        <v>Ferrugem</v>
      </c>
      <c r="C19" s="13"/>
      <c r="D19" s="13"/>
      <c r="E19" s="29"/>
      <c r="F19" s="13"/>
      <c r="G19" s="13"/>
      <c r="H19" s="13"/>
      <c r="I19" s="13"/>
      <c r="J19" s="13"/>
      <c r="K19" s="13"/>
      <c r="L19" s="13"/>
      <c r="M19" s="29"/>
      <c r="N19" s="13"/>
      <c r="O19" s="13"/>
    </row>
    <row r="20" customFormat="false" ht="15" hidden="false" customHeight="false" outlineLevel="0" collapsed="false">
      <c r="A20" s="47" t="n">
        <f aca="false">Cores!A20</f>
        <v>16</v>
      </c>
      <c r="B20" s="47" t="str">
        <f aca="false">Cores!B20</f>
        <v>Azul flutuante</v>
      </c>
      <c r="C20" s="13"/>
      <c r="D20" s="13"/>
      <c r="E20" s="29"/>
      <c r="F20" s="13"/>
      <c r="G20" s="13"/>
      <c r="H20" s="13"/>
      <c r="I20" s="13"/>
      <c r="J20" s="13"/>
      <c r="K20" s="13"/>
      <c r="L20" s="13"/>
      <c r="M20" s="29"/>
      <c r="N20" s="13"/>
      <c r="O20" s="13"/>
    </row>
    <row r="21" customFormat="false" ht="15" hidden="false" customHeight="false" outlineLevel="0" collapsed="false">
      <c r="A21" s="47" t="n">
        <f aca="false">Cores!A21</f>
        <v>17</v>
      </c>
      <c r="B21" s="47" t="str">
        <f aca="false">Cores!B21</f>
        <v>Imitação de cinza</v>
      </c>
      <c r="C21" s="13"/>
      <c r="D21" s="13"/>
      <c r="E21" s="29"/>
      <c r="F21" s="13"/>
      <c r="G21" s="13"/>
      <c r="H21" s="13"/>
      <c r="I21" s="13"/>
      <c r="J21" s="13"/>
      <c r="K21" s="13"/>
      <c r="L21" s="13"/>
      <c r="M21" s="29"/>
      <c r="N21" s="13"/>
      <c r="O21" s="13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customFormat="false" ht="15" hidden="false" customHeight="false" outlineLevel="0" collapsed="false">
      <c r="A23" s="3" t="s">
        <v>324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</sheetData>
  <dataValidations count="2">
    <dataValidation allowBlank="true" errorStyle="stop" operator="between" showDropDown="false" showErrorMessage="false" showInputMessage="false" sqref="G5:I21" type="list">
      <formula1>"Nenhum,Mole,Duro"</formula1>
      <formula2>0</formula2>
    </dataValidation>
    <dataValidation allowBlank="true" errorStyle="stop" operator="between" showDropDown="false" showErrorMessage="false" showInputMessage="false" sqref="J5:L21 N5:N21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13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325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326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12" t="s">
        <v>283</v>
      </c>
      <c r="B4" s="12" t="s">
        <v>327</v>
      </c>
      <c r="C4" s="12" t="s">
        <v>328</v>
      </c>
      <c r="D4" s="12" t="s">
        <v>329</v>
      </c>
      <c r="E4" s="12" t="s">
        <v>330</v>
      </c>
      <c r="F4" s="12" t="s">
        <v>331</v>
      </c>
      <c r="G4" s="12" t="s">
        <v>332</v>
      </c>
    </row>
    <row r="5" customFormat="false" ht="15" hidden="false" customHeight="false" outlineLevel="0" collapsed="false">
      <c r="A5" s="43" t="s">
        <v>298</v>
      </c>
      <c r="B5" s="43" t="s">
        <v>333</v>
      </c>
      <c r="C5" s="13" t="n">
        <v>100</v>
      </c>
      <c r="D5" s="13" t="n">
        <v>25</v>
      </c>
      <c r="E5" s="13" t="n">
        <v>600</v>
      </c>
      <c r="F5" s="13" t="n">
        <v>0</v>
      </c>
      <c r="G5" s="58" t="n">
        <f aca="false">IF(ISNUMBER(C5),ABS(E5-D5)/C5,0)+F5/60</f>
        <v>5.75</v>
      </c>
    </row>
    <row r="6" customFormat="false" ht="15" hidden="false" customHeight="false" outlineLevel="0" collapsed="false">
      <c r="A6" s="43" t="s">
        <v>298</v>
      </c>
      <c r="B6" s="43" t="s">
        <v>334</v>
      </c>
      <c r="C6" s="13" t="n">
        <v>150</v>
      </c>
      <c r="D6" s="13" t="n">
        <v>600</v>
      </c>
      <c r="E6" s="13" t="n">
        <v>1100</v>
      </c>
      <c r="F6" s="13" t="n">
        <v>0</v>
      </c>
      <c r="G6" s="58" t="n">
        <f aca="false">IF(ISNUMBER(C6),ABS(E6-D6)/C6,0)+F6/60</f>
        <v>3.33333333333333</v>
      </c>
    </row>
    <row r="7" customFormat="false" ht="15" hidden="false" customHeight="false" outlineLevel="0" collapsed="false">
      <c r="A7" s="43" t="s">
        <v>298</v>
      </c>
      <c r="B7" s="43" t="s">
        <v>335</v>
      </c>
      <c r="C7" s="13" t="n">
        <v>60</v>
      </c>
      <c r="D7" s="13" t="n">
        <v>1100</v>
      </c>
      <c r="E7" s="13" t="n">
        <v>1225</v>
      </c>
      <c r="F7" s="13" t="n">
        <v>15</v>
      </c>
      <c r="G7" s="58" t="n">
        <f aca="false">IF(ISNUMBER(C7),ABS(E7-D7)/C7,0)+F7/60</f>
        <v>2.33333333333333</v>
      </c>
    </row>
    <row r="8" customFormat="false" ht="15" hidden="false" customHeight="false" outlineLevel="0" collapsed="false">
      <c r="A8" s="43" t="s">
        <v>304</v>
      </c>
      <c r="B8" s="43" t="s">
        <v>333</v>
      </c>
      <c r="C8" s="13" t="n">
        <v>100</v>
      </c>
      <c r="D8" s="13" t="n">
        <v>25</v>
      </c>
      <c r="E8" s="13" t="n">
        <v>600</v>
      </c>
      <c r="F8" s="13" t="n">
        <v>0</v>
      </c>
      <c r="G8" s="58" t="n">
        <f aca="false">IF(ISNUMBER(C8),ABS(E8-D8)/C8,0)+F8/60</f>
        <v>5.75</v>
      </c>
    </row>
    <row r="9" customFormat="false" ht="15" hidden="false" customHeight="false" outlineLevel="0" collapsed="false">
      <c r="A9" s="43" t="s">
        <v>304</v>
      </c>
      <c r="B9" s="43" t="s">
        <v>334</v>
      </c>
      <c r="C9" s="13" t="n">
        <v>150</v>
      </c>
      <c r="D9" s="13" t="n">
        <v>600</v>
      </c>
      <c r="E9" s="13" t="n">
        <v>1100</v>
      </c>
      <c r="F9" s="13" t="n">
        <v>0</v>
      </c>
      <c r="G9" s="58" t="n">
        <f aca="false">IF(ISNUMBER(C9),ABS(E9-D9)/C9,0)+F9/60</f>
        <v>3.33333333333333</v>
      </c>
    </row>
    <row r="10" customFormat="false" ht="15" hidden="false" customHeight="false" outlineLevel="0" collapsed="false">
      <c r="A10" s="43" t="s">
        <v>304</v>
      </c>
      <c r="B10" s="43" t="s">
        <v>335</v>
      </c>
      <c r="C10" s="13" t="n">
        <v>60</v>
      </c>
      <c r="D10" s="13" t="n">
        <v>1100</v>
      </c>
      <c r="E10" s="13" t="n">
        <v>1225</v>
      </c>
      <c r="F10" s="13" t="n">
        <v>15</v>
      </c>
      <c r="G10" s="58" t="n">
        <f aca="false">IF(ISNUMBER(C10),ABS(E10-D10)/C10,0)+F10/60</f>
        <v>2.33333333333333</v>
      </c>
    </row>
    <row r="11" customFormat="false" ht="15" hidden="false" customHeight="false" outlineLevel="0" collapsed="false">
      <c r="A11" s="43" t="s">
        <v>304</v>
      </c>
      <c r="B11" s="43" t="s">
        <v>336</v>
      </c>
      <c r="C11" s="13" t="s">
        <v>337</v>
      </c>
      <c r="D11" s="13" t="n">
        <v>1225</v>
      </c>
      <c r="E11" s="13" t="n">
        <v>1100</v>
      </c>
      <c r="F11" s="13" t="n">
        <v>0</v>
      </c>
      <c r="G11" s="58" t="n">
        <f aca="false">IF(ISNUMBER(C11),ABS(E11-D11)/C11,0)+F11/60</f>
        <v>0</v>
      </c>
    </row>
    <row r="12" customFormat="false" ht="15" hidden="false" customHeight="false" outlineLevel="0" collapsed="false">
      <c r="A12" s="43" t="s">
        <v>304</v>
      </c>
      <c r="B12" s="43" t="s">
        <v>338</v>
      </c>
      <c r="C12" s="13" t="n">
        <v>80</v>
      </c>
      <c r="D12" s="13" t="n">
        <v>1100</v>
      </c>
      <c r="E12" s="13" t="n">
        <v>800</v>
      </c>
      <c r="F12" s="13" t="n">
        <v>0</v>
      </c>
      <c r="G12" s="58" t="n">
        <f aca="false">IF(ISNUMBER(C12),ABS(E12-D12)/C12,0)+F12/60</f>
        <v>3.75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</row>
    <row r="14" customFormat="false" ht="15" hidden="false" customHeight="false" outlineLevel="0" collapsed="false">
      <c r="A14" s="5" t="s">
        <v>339</v>
      </c>
      <c r="B14" s="2"/>
      <c r="C14" s="2"/>
      <c r="D14" s="2"/>
      <c r="E14" s="2"/>
      <c r="F14" s="2"/>
      <c r="G14" s="21" t="n">
        <f aca="false">SUM(G5:G7)</f>
        <v>11.4166666666667</v>
      </c>
    </row>
    <row r="15" customFormat="false" ht="15" hidden="false" customHeight="false" outlineLevel="0" collapsed="false">
      <c r="A15" s="5" t="s">
        <v>340</v>
      </c>
      <c r="B15" s="2"/>
      <c r="C15" s="2"/>
      <c r="D15" s="2"/>
      <c r="E15" s="2"/>
      <c r="F15" s="2"/>
      <c r="G15" s="21" t="n">
        <f aca="false">SUM(G8:G12)</f>
        <v>15.1666666666667</v>
      </c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</row>
    <row r="17" customFormat="false" ht="15" hidden="false" customHeight="false" outlineLevel="0" collapsed="false">
      <c r="A17" s="3" t="s">
        <v>341</v>
      </c>
      <c r="B17" s="2"/>
      <c r="C17" s="2"/>
      <c r="D17" s="2"/>
      <c r="E17" s="2"/>
      <c r="F17" s="2"/>
      <c r="G1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2026-10-14T11:45:30Z</dcterms:created>
  <dc:creator>openpyxl</dc:creator>
  <dc:description/>
  <dc:language>en-US</dc:language>
  <cp:lastModifiedBy/>
  <dcterms:modified xsi:type="dcterms:W3CDTF">2026-10-14T11:45:31Z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